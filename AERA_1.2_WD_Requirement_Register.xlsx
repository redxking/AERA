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5000a49a8e45a3" /></Relationships>
</file>

<file path=xl/workbook.xml><?xml version="1.0" encoding="utf-8"?>
<x:workbook xmlns:x="http://schemas.openxmlformats.org/spreadsheetml/2006/main">
  <x:sheets>
    <x:sheet xmlns:r="http://schemas.openxmlformats.org/officeDocument/2006/relationships" name="Requirements" sheetId="1" r:id="R988878c27e38483f"/>
    <x:sheet xmlns:r="http://schemas.openxmlformats.org/officeDocument/2006/relationships" name="Applicability Template" sheetId="2" r:id="Rdfef0a0599f042e7"/>
    <x:sheet xmlns:r="http://schemas.openxmlformats.org/officeDocument/2006/relationships" name="Control" sheetId="3" r:id="Raa34a5b278cc4f8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9"/>
      <x:color rgb="FF172026"/>
      <x:name val="Aptos"/>
    </x:font>
    <x:font>
      <x:b/>
      <x:sz val="10"/>
      <x:color rgb="FFFFFFFF"/>
      <x:name val="Aptos"/>
    </x:font>
    <x:font>
      <x:b/>
      <x:sz val="18"/>
      <x:color rgb="FFFFFFFF"/>
      <x:name val="Carlito"/>
    </x:font>
    <x:font>
      <x:i/>
      <x:sz val="10"/>
      <x:color rgb="FF52616B"/>
      <x:name val="Carlito"/>
    </x:font>
    <x:font>
      <x:b/>
      <x:sz val="11"/>
      <x:color rgb="FFFFFFFF"/>
      <x:name val="Carlito"/>
    </x:font>
    <x:font>
      <x:b/>
      <x:sz val="11"/>
      <x:color rgb="FF17324D"/>
      <x:name val="Carlito"/>
    </x:font>
  </x:fonts>
  <x:fills count="8">
    <x:fill>
      <x:patternFill patternType="none"/>
    </x:fill>
    <x:fill>
      <x:patternFill patternType="gray125"/>
    </x:fill>
    <x:fill>
      <x:patternFill patternType="solid">
        <x:fgColor rgb="FF17324D"/>
      </x:patternFill>
    </x:fill>
    <x:fill>
      <x:patternFill patternType="solid">
        <x:fgColor rgb="FFEAF0F4"/>
      </x:patternFill>
    </x:fill>
    <x:fill>
      <x:patternFill patternType="solid">
        <x:fgColor rgb="FF245B78"/>
      </x:patternFill>
    </x:fill>
    <x:fill>
      <x:patternFill patternType="solid">
        <x:fgColor rgb="FFF5F7F9"/>
      </x:patternFill>
    </x:fill>
    <x:fill>
      <x:patternFill patternType="solid">
        <x:fgColor rgb="FF2B7A78"/>
      </x:patternFill>
    </x:fill>
    <x:fill>
      <x:patternFill patternType="solid">
        <x:fgColor rgb="FFB08A3E"/>
      </x:patternFill>
    </x:fill>
  </x:fills>
  <x:borders count="20">
    <x:border/>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s>
  <x:cellStyleXfs count="1">
    <x:xf numFmtId="0" fontId="0" fillId="0" borderId="0"/>
  </x:cellStyleXfs>
  <x:cellXfs count="11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0" fontId="1" fillId="0" borderId="19"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1" fillId="0" borderId="16" xfId="0" applyNumberFormat="1" applyFont="1" applyFill="1" applyBorder="1" applyAlignment="1">
      <x:alignment wrapText="1"/>
    </x:xf>
    <x:xf numFmtId="0" fontId="1" fillId="0" borderId="17" xfId="0" applyNumberFormat="1" applyFont="1" applyFill="1" applyBorder="1" applyAlignment="1">
      <x:alignment wrapText="1"/>
    </x:xf>
    <x:xf numFmtId="0" fontId="1" fillId="0" borderId="18" xfId="0" applyNumberFormat="1" applyFont="1" applyFill="1" applyBorder="1" applyAlignment="1">
      <x:alignment wrapText="1"/>
    </x:xf>
    <x:xf numFmtId="0" fontId="1" fillId="0" borderId="19" xfId="0" applyNumberFormat="1" applyFont="1" applyFill="1" applyBorder="1" applyAlignment="1">
      <x:alignment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1" fillId="0" borderId="18" xfId="0" applyNumberFormat="1" applyFont="1" applyFill="1" applyBorder="1" applyAlignment="1">
      <x:alignment vertical="top" wrapText="1"/>
    </x:xf>
    <x:xf numFmtId="0" fontId="1" fillId="0" borderId="19"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1" fillId="2" borderId="11" xfId="0" applyNumberFormat="1" applyFont="1" applyFill="1" applyBorder="1" applyAlignment="1">
      <x:alignment vertical="top" wrapText="1"/>
    </x:xf>
    <x:xf numFmtId="0" fontId="1" fillId="2" borderId="12" xfId="0" applyNumberFormat="1" applyFont="1" applyFill="1" applyBorder="1" applyAlignment="1">
      <x:alignment vertical="top" wrapText="1"/>
    </x:xf>
    <x:xf numFmtId="0" fontId="1" fillId="2" borderId="13"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2" fillId="2" borderId="13"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2" fillId="2" borderId="13" xfId="0" applyNumberFormat="1" applyFont="1" applyFill="1" applyBorder="1" applyAlignment="1">
      <x:alignment vertical="center" wrapText="1"/>
    </x:xf>
    <x:xf numFmtId="200" fontId="1" fillId="0" borderId="6"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5" fillId="4" borderId="0" xfId="0" applyNumberFormat="1" applyFont="1" applyFill="1" applyBorder="1" applyAlignment="1">
      <x:alignment wrapText="1"/>
    </x:xf>
    <x:xf numFmtId="0" fontId="6"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4" borderId="1" xfId="0" applyNumberFormat="1" applyFont="1" applyFill="1" applyBorder="1" applyAlignment="1">
      <x:alignment wrapText="1"/>
    </x:xf>
    <x:xf numFmtId="0" fontId="6" fillId="5"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dxfs count="2">
    <x:dxf>
      <x:font>
        <x:b/>
        <x:color rgb="FF8B2E2E"/>
      </x:font>
      <x:fill>
        <x:patternFill patternType="solid">
          <x:bgColor rgb="FFF7D6D6"/>
        </x:patternFill>
      </x:fill>
    </x:dxf>
    <x:dxf>
      <x:font>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c8408b2d6f43e4" /><Relationship Type="http://schemas.openxmlformats.org/officeDocument/2006/relationships/theme" Target="/xl/theme/theme1.xml" Id="R009fc5a75ed14fe8" /><Relationship Type="http://schemas.openxmlformats.org/officeDocument/2006/relationships/sharedStrings" Target="/xl/sharedStrings.xml" Id="R5dcf795e3cc54354" /><Relationship Type="http://schemas.openxmlformats.org/officeDocument/2006/relationships/worksheet" Target="/xl/worksheets/sheet1.xml" Id="R988878c27e38483f" /><Relationship Type="http://schemas.openxmlformats.org/officeDocument/2006/relationships/worksheet" Target="/xl/worksheets/sheet2.xml" Id="Rdfef0a0599f042e7" /><Relationship Type="http://schemas.openxmlformats.org/officeDocument/2006/relationships/worksheet" Target="/xl/worksheets/sheet3.xml" Id="Raa34a5b278cc4f85" /></Relationships>
</file>

<file path=xl/tables/table1.xml><?xml version="1.0" encoding="utf-8"?>
<x:table xmlns:x="http://schemas.openxmlformats.org/spreadsheetml/2006/main" id="1" name="AERA12Requirements" displayName="AERA12Requirements" ref="A1:P200" headerRowCount="1" totalsRowCount="0" totalsRowShown="0">
  <x:autoFilter ref="A1:P200"/>
  <x:tableColumns count="16">
    <x:tableColumn id="1" name="﻿ID"/>
    <x:tableColumn id="2" name="Family"/>
    <x:tableColumn id="3" name="Normative Text"/>
    <x:tableColumn id="4" name="Primary verification method"/>
    <x:tableColumn id="5" name="Lifecycle status"/>
    <x:tableColumn id="6" name="Introduced in"/>
    <x:tableColumn id="7" name="Changed in"/>
    <x:tableColumn id="8" name="Parent ID"/>
    <x:tableColumn id="9" name="Refines"/>
    <x:tableColumn id="10" name="Supersedes"/>
    <x:tableColumn id="11" name="Superseded by"/>
    <x:tableColumn id="12" name="Semantic delta"/>
    <x:tableColumn id="13" name="Default applicability"/>
    <x:tableColumn id="14" name="Edition"/>
    <x:tableColumn id="15" name="Build ID"/>
    <x:tableColumn id="16" name="Canonical source"/>
  </x:tableColumns>
  <x:tableStyleInfo name="TableStyleMedium2" showFirstColumn="0" showLastColumn="0" showRowStripes="1" showColumnStripes="0"/>
</x:table>
</file>

<file path=xl/tables/table2.xml><?xml version="1.0" encoding="utf-8"?>
<x:table xmlns:x="http://schemas.openxmlformats.org/spreadsheetml/2006/main" id="2" name="AERA12Applicability" displayName="AERA12Applicability" ref="A1:O200" headerRowCount="1" totalsRowCount="0" totalsRowShown="0">
  <x:autoFilter ref="A1:O200"/>
  <x:tableColumns count="15">
    <x:tableColumn id="1" name="AERA requirement ID"/>
    <x:tableColumn id="2" name="Family"/>
    <x:tableColumn id="3" name="Normative text"/>
    <x:tableColumn id="4" name="AERA edition"/>
    <x:tableColumn id="5" name="Applicability profile ID"/>
    <x:tableColumn id="6" name="Conformance subject ID"/>
    <x:tableColumn id="7" name="Record version"/>
    <x:tableColumn id="8" name="Applicability"/>
    <x:tableColumn id="9" name="Applicability rationale"/>
    <x:tableColumn id="10" name="Assessment result"/>
    <x:tableColumn id="11" name="Evidence reference"/>
    <x:tableColumn id="12" name="Deviation ID"/>
    <x:tableColumn id="13" name="Assessment owner"/>
    <x:tableColumn id="14" name="Assessment date"/>
    <x:tableColumn id="15" name="QA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678d6790444c58" /></Relationships>
</file>

<file path=xl/worksheets/_rels/sheet2.xml.rels>&#65279;<?xml version="1.0" encoding="utf-8"?><Relationships xmlns="http://schemas.openxmlformats.org/package/2006/relationships"><Relationship Type="http://schemas.openxmlformats.org/officeDocument/2006/relationships/table" Target="/xl/tables/table2.xml" Id="R0f57cc9e29744f4e" /></Relationships>
</file>

<file path=xl/worksheets/sheet1.xml><?xml version="1.0" encoding="utf-8"?>
<x:worksheet xmlns:x="http://schemas.openxmlformats.org/spreadsheetml/2006/main">
  <x:sheetFormatPr defaultRowHeight="15"/>
  <x:cols>
    <x:col min="1" max="1" width="22" hidden="0" customWidth="1"/>
    <x:col min="2" max="2" width="12" hidden="0" customWidth="1"/>
    <x:col min="3" max="3" width="78" hidden="0" customWidth="1"/>
    <x:col min="4" max="4" width="22" hidden="0" customWidth="1"/>
    <x:col min="5" max="5" width="18" hidden="0" customWidth="1"/>
    <x:col min="6" max="6" width="20" hidden="0" customWidth="1"/>
    <x:col min="7" max="7" width="18" hidden="0" customWidth="1"/>
    <x:col min="8" max="8" width="22" hidden="0" customWidth="1"/>
    <x:col min="9" max="9" width="22" hidden="0" customWidth="1"/>
    <x:col min="10" max="10" width="22" hidden="0" customWidth="1"/>
    <x:col min="11" max="11" width="22" hidden="0" customWidth="1"/>
    <x:col min="12" max="12" width="48" hidden="0" customWidth="1"/>
    <x:col min="13" max="13" width="32" hidden="0" customWidth="1"/>
    <x:col min="14" max="14" width="14" hidden="0" customWidth="1"/>
    <x:col min="15" max="15" width="26" hidden="0" customWidth="1"/>
    <x:col min="16" max="16" width="42" hidden="0" customWidth="1"/>
  </x:cols>
  <x:sheetData>
    <x:row r="1" ht="30" customHeight="1">
      <x:c r="A1" s="70" t="str">
        <x:v>﻿ID</x:v>
      </x:c>
      <x:c r="B1" s="71" t="str">
        <x:v>Family</x:v>
      </x:c>
      <x:c r="C1" s="71" t="str">
        <x:v>Normative Text</x:v>
      </x:c>
      <x:c r="D1" s="71" t="str">
        <x:v>Primary verification method</x:v>
      </x:c>
      <x:c r="E1" s="71" t="str">
        <x:v>Lifecycle status</x:v>
      </x:c>
      <x:c r="F1" s="71" t="str">
        <x:v>Introduced in</x:v>
      </x:c>
      <x:c r="G1" s="71" t="str">
        <x:v>Changed in</x:v>
      </x:c>
      <x:c r="H1" s="71" t="str">
        <x:v>Parent ID</x:v>
      </x:c>
      <x:c r="I1" s="71" t="str">
        <x:v>Refines</x:v>
      </x:c>
      <x:c r="J1" s="71" t="str">
        <x:v>Supersedes</x:v>
      </x:c>
      <x:c r="K1" s="71" t="str">
        <x:v>Superseded by</x:v>
      </x:c>
      <x:c r="L1" s="71" t="str">
        <x:v>Semantic delta</x:v>
      </x:c>
      <x:c r="M1" s="71" t="str">
        <x:v>Default applicability</x:v>
      </x:c>
      <x:c r="N1" s="71" t="str">
        <x:v>Edition</x:v>
      </x:c>
      <x:c r="O1" s="71" t="str">
        <x:v>Build ID</x:v>
      </x:c>
      <x:c r="P1" s="72" t="str">
        <x:v>Canonical source</x:v>
      </x:c>
    </x:row>
    <x:row r="2" ht="60" customHeight="1">
      <x:c r="A2" s="43" t="str">
        <x:v>AERA-ACTOR-001</x:v>
      </x:c>
      <x:c r="B2" s="44" t="str">
        <x:v>ACTOR</x:v>
      </x:c>
      <x:c r="C2" s="44" t="str">
        <x:v>Each actor SHALL have workload identity, owner, role, competency basis, configuration, tool/data rights, consequence ceiling, lifecycle state, and retirement/suspension.</x:v>
      </x:c>
      <x:c r="D2" s="44" t="str">
        <x:v>I, T</x:v>
      </x:c>
      <x:c r="E2" s="44" t="str">
        <x:v>PROPOSED</x:v>
      </x:c>
      <x:c r="F2" s="44" t="str">
        <x:v>1.1 RC1 or earlier - lineage pending</x:v>
      </x:c>
      <x:c r="G2" s="44" t="str"/>
      <x:c r="H2" s="44" t="str"/>
      <x:c r="I2" s="44" t="str"/>
      <x:c r="J2" s="44" t="str"/>
      <x:c r="K2" s="44" t="str"/>
      <x:c r="L2" s="44" t="str"/>
      <x:c r="M2" s="44" t="str">
        <x:v>UNDETERMINED - claim-specific profile matrix required</x:v>
      </x:c>
      <x:c r="N2" s="44" t="str">
        <x:v>1.2 WD</x:v>
      </x:c>
      <x:c r="O2" s="44" t="str">
        <x:v>AERA-001-1.2WD-20260807.1</x:v>
      </x:c>
      <x:c r="P2" s="45" t="str">
        <x:v>Authoritative PDF Appendix A; generated from controlled source</x:v>
      </x:c>
    </x:row>
    <x:row r="3" ht="60" customHeight="1">
      <x:c r="A3" s="43" t="str">
        <x:v>AERA-ACTOR-002</x:v>
      </x:c>
      <x:c r="B3" s="44" t="str">
        <x:v>ACTOR</x:v>
      </x:c>
      <x:c r="C3" s="44" t="str">
        <x:v>Before consequential proposal/effect, the implementation SHALL verify actor identity and consequence-material model, context, orchestration, tool, and runtime integrity against approved or declared degraded state.</x:v>
      </x:c>
      <x:c r="D3" s="44" t="str">
        <x:v>I, T</x:v>
      </x:c>
      <x:c r="E3" s="44" t="str">
        <x:v>PROPOSED</x:v>
      </x:c>
      <x:c r="F3" s="44" t="str">
        <x:v>1.1 RC1 or earlier - lineage pending</x:v>
      </x:c>
      <x:c r="G3" s="44" t="str"/>
      <x:c r="H3" s="44" t="str"/>
      <x:c r="I3" s="44" t="str"/>
      <x:c r="J3" s="44" t="str"/>
      <x:c r="K3" s="44" t="str"/>
      <x:c r="L3" s="44" t="str"/>
      <x:c r="M3" s="44" t="str">
        <x:v>UNDETERMINED - claim-specific profile matrix required</x:v>
      </x:c>
      <x:c r="N3" s="44" t="str">
        <x:v>1.2 WD</x:v>
      </x:c>
      <x:c r="O3" s="44" t="str">
        <x:v>AERA-001-1.2WD-20260807.1</x:v>
      </x:c>
      <x:c r="P3" s="45" t="str">
        <x:v>Authoritative PDF Appendix A; generated from controlled source</x:v>
      </x:c>
    </x:row>
    <x:row r="4" ht="60" customHeight="1">
      <x:c r="A4" s="43" t="str">
        <x:v>AERA-ACTOR-003</x:v>
      </x:c>
      <x:c r="B4" s="44" t="str">
        <x:v>ACTOR</x:v>
      </x:c>
      <x:c r="C4" s="44" t="str">
        <x:v>Actors SHALL NOT subdelegate unless expressly permitted; permitted subdelegation SHALL preserve constraints/attribution and SHALL NOT increase scope, consequence, duration, tools, targets, or data rights.</x:v>
      </x:c>
      <x:c r="D4" s="44" t="str">
        <x:v>A, T</x:v>
      </x:c>
      <x:c r="E4" s="44" t="str">
        <x:v>PROPOSED</x:v>
      </x:c>
      <x:c r="F4" s="44" t="str">
        <x:v>1.1 RC1 or earlier - lineage pending</x:v>
      </x:c>
      <x:c r="G4" s="44" t="str"/>
      <x:c r="H4" s="44" t="str"/>
      <x:c r="I4" s="44" t="str"/>
      <x:c r="J4" s="44" t="str"/>
      <x:c r="K4" s="44" t="str"/>
      <x:c r="L4" s="44" t="str"/>
      <x:c r="M4" s="44" t="str">
        <x:v>UNDETERMINED - claim-specific profile matrix required</x:v>
      </x:c>
      <x:c r="N4" s="44" t="str">
        <x:v>1.2 WD</x:v>
      </x:c>
      <x:c r="O4" s="44" t="str">
        <x:v>AERA-001-1.2WD-20260807.1</x:v>
      </x:c>
      <x:c r="P4" s="45" t="str">
        <x:v>Authoritative PDF Appendix A; generated from controlled source</x:v>
      </x:c>
    </x:row>
    <x:row r="5" ht="60" customHeight="1">
      <x:c r="A5" s="43" t="str">
        <x:v>AERA-AUTH-001</x:v>
      </x:c>
      <x:c r="B5" s="44" t="str">
        <x:v>AUTH</x:v>
      </x:c>
      <x:c r="C5" s="44" t="str">
        <x:v>Every material autonomous action SHALL resolve at authorization time to a current, attributable, revocable delegation from an accountable grantor.</x:v>
      </x:c>
      <x:c r="D5" s="44" t="str">
        <x:v>I, T, D</x:v>
      </x:c>
      <x:c r="E5" s="44" t="str">
        <x:v>PROPOSED</x:v>
      </x:c>
      <x:c r="F5" s="44" t="str">
        <x:v>1.1 RC1 or earlier - lineage pending</x:v>
      </x:c>
      <x:c r="G5" s="44" t="str"/>
      <x:c r="H5" s="44" t="str"/>
      <x:c r="I5" s="44" t="str"/>
      <x:c r="J5" s="44" t="str"/>
      <x:c r="K5" s="44" t="str"/>
      <x:c r="L5" s="44" t="str"/>
      <x:c r="M5" s="44" t="str">
        <x:v>UNDETERMINED - claim-specific profile matrix required</x:v>
      </x:c>
      <x:c r="N5" s="44" t="str">
        <x:v>1.2 WD</x:v>
      </x:c>
      <x:c r="O5" s="44" t="str">
        <x:v>AERA-001-1.2WD-20260807.1</x:v>
      </x:c>
      <x:c r="P5" s="45" t="str">
        <x:v>Authoritative PDF Appendix A; generated from controlled source</x:v>
      </x:c>
    </x:row>
    <x:row r="6" ht="60" customHeight="1">
      <x:c r="A6" s="43" t="str">
        <x:v>AERA-AUTH-002</x:v>
      </x:c>
      <x:c r="B6" s="44" t="str">
        <x:v>AUTH</x:v>
      </x:c>
      <x:c r="C6" s="44" t="str">
        <x:v>A delegation SHALL state grantor, grantee, permitted decisions/effects, target/domain, context, prohibitions, consequence ceiling, validity, evidence, subdelegation, escalation, and revocation.</x:v>
      </x:c>
      <x:c r="D6" s="44" t="str">
        <x:v>I, T</x:v>
      </x:c>
      <x:c r="E6" s="44" t="str">
        <x:v>PROPOSED</x:v>
      </x:c>
      <x:c r="F6" s="44" t="str">
        <x:v>1.1 RC1 or earlier - lineage pending</x:v>
      </x:c>
      <x:c r="G6" s="44" t="str"/>
      <x:c r="H6" s="44" t="str"/>
      <x:c r="I6" s="44" t="str"/>
      <x:c r="J6" s="44" t="str"/>
      <x:c r="K6" s="44" t="str"/>
      <x:c r="L6" s="44" t="str"/>
      <x:c r="M6" s="44" t="str">
        <x:v>UNDETERMINED - claim-specific profile matrix required</x:v>
      </x:c>
      <x:c r="N6" s="44" t="str">
        <x:v>1.2 WD</x:v>
      </x:c>
      <x:c r="O6" s="44" t="str">
        <x:v>AERA-001-1.2WD-20260807.1</x:v>
      </x:c>
      <x:c r="P6" s="45" t="str">
        <x:v>Authoritative PDF Appendix A; generated from controlled source</x:v>
      </x:c>
    </x:row>
    <x:row r="7" ht="60" customHeight="1">
      <x:c r="A7" s="43" t="str">
        <x:v>AERA-AUTH-003</x:v>
      </x:c>
      <x:c r="B7" s="44" t="str">
        <x:v>AUTH</x:v>
      </x:c>
      <x:c r="C7" s="44" t="str">
        <x:v>Revoking delegation, identity, policy, or actor SHALL invalidate and propagate withdrawal to all unexecuted derived authorizations within a declared consequence-specific bound.</x:v>
      </x:c>
      <x:c r="D7" s="44" t="str">
        <x:v>A, T</x:v>
      </x:c>
      <x:c r="E7" s="44" t="str">
        <x:v>PROPOSED</x:v>
      </x:c>
      <x:c r="F7" s="44" t="str">
        <x:v>1.1 RC1 or earlier - lineage pending</x:v>
      </x:c>
      <x:c r="G7" s="44" t="str"/>
      <x:c r="H7" s="44" t="str"/>
      <x:c r="I7" s="44" t="str"/>
      <x:c r="J7" s="44" t="str"/>
      <x:c r="K7" s="44" t="str"/>
      <x:c r="L7" s="44" t="str"/>
      <x:c r="M7" s="44" t="str">
        <x:v>UNDETERMINED - claim-specific profile matrix required</x:v>
      </x:c>
      <x:c r="N7" s="44" t="str">
        <x:v>1.2 WD</x:v>
      </x:c>
      <x:c r="O7" s="44" t="str">
        <x:v>AERA-001-1.2WD-20260807.1</x:v>
      </x:c>
      <x:c r="P7" s="45" t="str">
        <x:v>Authoritative PDF Appendix A; generated from controlled source</x:v>
      </x:c>
    </x:row>
    <x:row r="8" ht="60" customHeight="1">
      <x:c r="A8" s="43" t="str">
        <x:v>AERA-AUTH-101</x:v>
      </x:c>
      <x:c r="B8" s="44" t="str">
        <x:v>AUTH</x:v>
      </x:c>
      <x:c r="C8" s="44" t="str">
        <x:v>Every autonomous material effect SHALL resolve to a current, attributable, revocable delegation rooted in an accountable authority.</x:v>
      </x:c>
      <x:c r="D8" s="44" t="str">
        <x:v>I, A, T</x:v>
      </x:c>
      <x:c r="E8" s="44" t="str">
        <x:v>PROPOSED</x:v>
      </x:c>
      <x:c r="F8" s="44" t="str">
        <x:v>1.1 RC1 or earlier - lineage pending</x:v>
      </x:c>
      <x:c r="G8" s="44" t="str"/>
      <x:c r="H8" s="44" t="str"/>
      <x:c r="I8" s="44" t="str"/>
      <x:c r="J8" s="44" t="str"/>
      <x:c r="K8" s="44" t="str"/>
      <x:c r="L8" s="44" t="str"/>
      <x:c r="M8" s="44" t="str">
        <x:v>UNDETERMINED - claim-specific profile matrix required</x:v>
      </x:c>
      <x:c r="N8" s="44" t="str">
        <x:v>1.2 WD</x:v>
      </x:c>
      <x:c r="O8" s="44" t="str">
        <x:v>AERA-001-1.2WD-20260807.1</x:v>
      </x:c>
      <x:c r="P8" s="45" t="str">
        <x:v>Authoritative PDF Appendix A; generated from controlled source</x:v>
      </x:c>
    </x:row>
    <x:row r="9" ht="60" customHeight="1">
      <x:c r="A9" s="43" t="str">
        <x:v>AERA-AUTH-102</x:v>
      </x:c>
      <x:c r="B9" s="44" t="str">
        <x:v>AUTH</x:v>
      </x:c>
      <x:c r="C9" s="44" t="str">
        <x:v>Possession of credentials, resource access, network reachability, tool availability, model registration, or prior approval SHALL NOT be treated as decision authority.</x:v>
      </x:c>
      <x:c r="D9" s="44" t="str">
        <x:v>I, T</x:v>
      </x:c>
      <x:c r="E9" s="44" t="str">
        <x:v>PROPOSED</x:v>
      </x:c>
      <x:c r="F9" s="44" t="str">
        <x:v>1.1 RC1 or earlier - lineage pending</x:v>
      </x:c>
      <x:c r="G9" s="44" t="str"/>
      <x:c r="H9" s="44" t="str"/>
      <x:c r="I9" s="44" t="str"/>
      <x:c r="J9" s="44" t="str"/>
      <x:c r="K9" s="44" t="str"/>
      <x:c r="L9" s="44" t="str"/>
      <x:c r="M9" s="44" t="str">
        <x:v>UNDETERMINED - claim-specific profile matrix required</x:v>
      </x:c>
      <x:c r="N9" s="44" t="str">
        <x:v>1.2 WD</x:v>
      </x:c>
      <x:c r="O9" s="44" t="str">
        <x:v>AERA-001-1.2WD-20260807.1</x:v>
      </x:c>
      <x:c r="P9" s="45" t="str">
        <x:v>Authoritative PDF Appendix A; generated from controlled source</x:v>
      </x:c>
    </x:row>
    <x:row r="10" ht="60" customHeight="1">
      <x:c r="A10" s="43" t="str">
        <x:v>AERA-AUTH-103</x:v>
      </x:c>
      <x:c r="B10" s="44" t="str">
        <x:v>AUTH</x:v>
      </x:c>
      <x:c r="C10" s="44" t="str">
        <x:v>A delegation SHALL state subject, issuer, permitted actions, targets, purposes, effects, boundaries, consequence ceiling, validity, predicates, prohibitions, and revocation semantics.</x:v>
      </x:c>
      <x:c r="D10" s="44" t="str">
        <x:v>I</x:v>
      </x:c>
      <x:c r="E10" s="44" t="str">
        <x:v>PROPOSED</x:v>
      </x:c>
      <x:c r="F10" s="44" t="str">
        <x:v>1.1 RC1 or earlier - lineage pending</x:v>
      </x:c>
      <x:c r="G10" s="44" t="str"/>
      <x:c r="H10" s="44" t="str"/>
      <x:c r="I10" s="44" t="str"/>
      <x:c r="J10" s="44" t="str"/>
      <x:c r="K10" s="44" t="str"/>
      <x:c r="L10" s="44" t="str"/>
      <x:c r="M10" s="44" t="str">
        <x:v>UNDETERMINED - claim-specific profile matrix required</x:v>
      </x:c>
      <x:c r="N10" s="44" t="str">
        <x:v>1.2 WD</x:v>
      </x:c>
      <x:c r="O10" s="44" t="str">
        <x:v>AERA-001-1.2WD-20260807.1</x:v>
      </x:c>
      <x:c r="P10" s="45" t="str">
        <x:v>Authoritative PDF Appendix A; generated from controlled source</x:v>
      </x:c>
    </x:row>
    <x:row r="11" ht="60" customHeight="1">
      <x:c r="A11" s="43" t="str">
        <x:v>AERA-AUTH-104</x:v>
      </x:c>
      <x:c r="B11" s="44" t="str">
        <x:v>AUTH</x:v>
      </x:c>
      <x:c r="C11" s="44" t="str">
        <x:v>Subdelegation SHALL be prohibited unless every applicable parent grant explicitly permits it.</x:v>
      </x:c>
      <x:c r="D11" s="44" t="str">
        <x:v>I, T</x:v>
      </x:c>
      <x:c r="E11" s="44" t="str">
        <x:v>PROPOSED</x:v>
      </x:c>
      <x:c r="F11" s="44" t="str">
        <x:v>1.1 RC1 or earlier - lineage pending</x:v>
      </x:c>
      <x:c r="G11" s="44" t="str"/>
      <x:c r="H11" s="44" t="str"/>
      <x:c r="I11" s="44" t="str"/>
      <x:c r="J11" s="44" t="str"/>
      <x:c r="K11" s="44" t="str"/>
      <x:c r="L11" s="44" t="str"/>
      <x:c r="M11" s="44" t="str">
        <x:v>UNDETERMINED - claim-specific profile matrix required</x:v>
      </x:c>
      <x:c r="N11" s="44" t="str">
        <x:v>1.2 WD</x:v>
      </x:c>
      <x:c r="O11" s="44" t="str">
        <x:v>AERA-001-1.2WD-20260807.1</x:v>
      </x:c>
      <x:c r="P11" s="45" t="str">
        <x:v>Authoritative PDF Appendix A; generated from controlled source</x:v>
      </x:c>
    </x:row>
    <x:row r="12" ht="60" customHeight="1">
      <x:c r="A12" s="43" t="str">
        <x:v>AERA-AUTH-105</x:v>
      </x:c>
      <x:c r="B12" s="44" t="str">
        <x:v>AUTH</x:v>
      </x:c>
      <x:c r="C12" s="44" t="str">
        <x:v>A child grant SHALL NOT expand the scope, duration, use, resource, consequence, oversight, evidence, enforcement, or recovery authority of its effective parent chain.</x:v>
      </x:c>
      <x:c r="D12" s="44" t="str">
        <x:v>A, T</x:v>
      </x:c>
      <x:c r="E12" s="44" t="str">
        <x:v>PROPOSED</x:v>
      </x:c>
      <x:c r="F12" s="44" t="str">
        <x:v>1.1 RC1 or earlier - lineage pending</x:v>
      </x:c>
      <x:c r="G12" s="44" t="str"/>
      <x:c r="H12" s="44" t="str"/>
      <x:c r="I12" s="44" t="str"/>
      <x:c r="J12" s="44" t="str"/>
      <x:c r="K12" s="44" t="str"/>
      <x:c r="L12" s="44" t="str"/>
      <x:c r="M12" s="44" t="str">
        <x:v>UNDETERMINED - claim-specific profile matrix required</x:v>
      </x:c>
      <x:c r="N12" s="44" t="str">
        <x:v>1.2 WD</x:v>
      </x:c>
      <x:c r="O12" s="44" t="str">
        <x:v>AERA-001-1.2WD-20260807.1</x:v>
      </x:c>
      <x:c r="P12" s="45" t="str">
        <x:v>Authoritative PDF Appendix A; generated from controlled source</x:v>
      </x:c>
    </x:row>
    <x:row r="13" ht="60" customHeight="1">
      <x:c r="A13" s="43" t="str">
        <x:v>AERA-AUTH-106</x:v>
      </x:c>
      <x:c r="B13" s="44" t="str">
        <x:v>AUTH</x:v>
      </x:c>
      <x:c r="C13" s="44" t="str">
        <x:v>Expiration or revocation of a parent grant SHALL invalidate dependent grants within the maximum propagation time defined by policy.</x:v>
      </x:c>
      <x:c r="D13" s="44" t="str">
        <x:v>I, T</x:v>
      </x:c>
      <x:c r="E13" s="44" t="str">
        <x:v>PROPOSED</x:v>
      </x:c>
      <x:c r="F13" s="44" t="str">
        <x:v>1.1 RC1 or earlier - lineage pending</x:v>
      </x:c>
      <x:c r="G13" s="44" t="str"/>
      <x:c r="H13" s="44" t="str"/>
      <x:c r="I13" s="44" t="str"/>
      <x:c r="J13" s="44" t="str"/>
      <x:c r="K13" s="44" t="str"/>
      <x:c r="L13" s="44" t="str"/>
      <x:c r="M13" s="44" t="str">
        <x:v>UNDETERMINED - claim-specific profile matrix required</x:v>
      </x:c>
      <x:c r="N13" s="44" t="str">
        <x:v>1.2 WD</x:v>
      </x:c>
      <x:c r="O13" s="44" t="str">
        <x:v>AERA-001-1.2WD-20260807.1</x:v>
      </x:c>
      <x:c r="P13" s="45" t="str">
        <x:v>Authoritative PDF Appendix A; generated from controlled source</x:v>
      </x:c>
    </x:row>
    <x:row r="14" ht="60" customHeight="1">
      <x:c r="A14" s="43" t="str">
        <x:v>AERA-AUTH-107</x:v>
      </x:c>
      <x:c r="B14" s="44" t="str">
        <x:v>AUTH</x:v>
      </x:c>
      <x:c r="C14" s="44" t="str">
        <x:v>The DAF SHALL validate the complete effective delegation chain, including issuer authority, integrity, revocation, attenuation, and applicable prohibitions.</x:v>
      </x:c>
      <x:c r="D14" s="44" t="str">
        <x:v>I, A, T</x:v>
      </x:c>
      <x:c r="E14" s="44" t="str">
        <x:v>PROPOSED</x:v>
      </x:c>
      <x:c r="F14" s="44" t="str">
        <x:v>1.1 RC1 or earlier - lineage pending</x:v>
      </x:c>
      <x:c r="G14" s="44" t="str"/>
      <x:c r="H14" s="44" t="str"/>
      <x:c r="I14" s="44" t="str"/>
      <x:c r="J14" s="44" t="str"/>
      <x:c r="K14" s="44" t="str"/>
      <x:c r="L14" s="44" t="str"/>
      <x:c r="M14" s="44" t="str">
        <x:v>UNDETERMINED - claim-specific profile matrix required</x:v>
      </x:c>
      <x:c r="N14" s="44" t="str">
        <x:v>1.2 WD</x:v>
      </x:c>
      <x:c r="O14" s="44" t="str">
        <x:v>AERA-001-1.2WD-20260807.1</x:v>
      </x:c>
      <x:c r="P14" s="45" t="str">
        <x:v>Authoritative PDF Appendix A; generated from controlled source</x:v>
      </x:c>
    </x:row>
    <x:row r="15" ht="60" customHeight="1">
      <x:c r="A15" s="43" t="str">
        <x:v>AERA-AUTH-108</x:v>
      </x:c>
      <x:c r="B15" s="44" t="str">
        <x:v>AUTH</x:v>
      </x:c>
      <x:c r="C15" s="44" t="str">
        <x:v>An applicable explicit deny or higher-precedence prohibition SHALL prevail over a lower-precedence allow.</x:v>
      </x:c>
      <x:c r="D15" s="44" t="str">
        <x:v>I, T</x:v>
      </x:c>
      <x:c r="E15" s="44" t="str">
        <x:v>PROPOSED</x:v>
      </x:c>
      <x:c r="F15" s="44" t="str">
        <x:v>1.1 RC1 or earlier - lineage pending</x:v>
      </x:c>
      <x:c r="G15" s="44" t="str"/>
      <x:c r="H15" s="44" t="str"/>
      <x:c r="I15" s="44" t="str"/>
      <x:c r="J15" s="44" t="str"/>
      <x:c r="K15" s="44" t="str"/>
      <x:c r="L15" s="44" t="str"/>
      <x:c r="M15" s="44" t="str">
        <x:v>UNDETERMINED - claim-specific profile matrix required</x:v>
      </x:c>
      <x:c r="N15" s="44" t="str">
        <x:v>1.2 WD</x:v>
      </x:c>
      <x:c r="O15" s="44" t="str">
        <x:v>AERA-001-1.2WD-20260807.1</x:v>
      </x:c>
      <x:c r="P15" s="45" t="str">
        <x:v>Authoritative PDF Appendix A; generated from controlled source</x:v>
      </x:c>
    </x:row>
    <x:row r="16" ht="60" customHeight="1">
      <x:c r="A16" s="43" t="str">
        <x:v>AERA-AUTH-109</x:v>
      </x:c>
      <x:c r="B16" s="44" t="str">
        <x:v>AUTH</x:v>
      </x:c>
      <x:c r="C16" s="44" t="str">
        <x:v>Emergency authority SHALL be purpose-limited, time-bounded, attributable, auditable, and unable to override constraints that the issuer lacks authority to modify.</x:v>
      </x:c>
      <x:c r="D16" s="44" t="str">
        <x:v>I, A, T</x:v>
      </x:c>
      <x:c r="E16" s="44" t="str">
        <x:v>PROPOSED</x:v>
      </x:c>
      <x:c r="F16" s="44" t="str">
        <x:v>1.1 RC1 or earlier - lineage pending</x:v>
      </x:c>
      <x:c r="G16" s="44" t="str"/>
      <x:c r="H16" s="44" t="str"/>
      <x:c r="I16" s="44" t="str"/>
      <x:c r="J16" s="44" t="str"/>
      <x:c r="K16" s="44" t="str"/>
      <x:c r="L16" s="44" t="str"/>
      <x:c r="M16" s="44" t="str">
        <x:v>UNDETERMINED - claim-specific profile matrix required</x:v>
      </x:c>
      <x:c r="N16" s="44" t="str">
        <x:v>1.2 WD</x:v>
      </x:c>
      <x:c r="O16" s="44" t="str">
        <x:v>AERA-001-1.2WD-20260807.1</x:v>
      </x:c>
      <x:c r="P16" s="45" t="str">
        <x:v>Authoritative PDF Appendix A; generated from controlled source</x:v>
      </x:c>
    </x:row>
    <x:row r="17" ht="60" customHeight="1">
      <x:c r="A17" s="43" t="str">
        <x:v>AERA-AUTH-110</x:v>
      </x:c>
      <x:c r="B17" s="44" t="str">
        <x:v>AUTH</x:v>
      </x:c>
      <x:c r="C17" s="44" t="str">
        <x:v>A disconnected-operation grant SHALL define duration, decision scope, consequence ceiling, local evidence and time requirements, reconciliation, and behavior when any bound is exceeded.</x:v>
      </x:c>
      <x:c r="D17" s="44" t="str">
        <x:v>I, A, T</x:v>
      </x:c>
      <x:c r="E17" s="44" t="str">
        <x:v>PROPOSED</x:v>
      </x:c>
      <x:c r="F17" s="44" t="str">
        <x:v>1.1 RC1 or earlier - lineage pending</x:v>
      </x:c>
      <x:c r="G17" s="44" t="str"/>
      <x:c r="H17" s="44" t="str"/>
      <x:c r="I17" s="44" t="str"/>
      <x:c r="J17" s="44" t="str"/>
      <x:c r="K17" s="44" t="str"/>
      <x:c r="L17" s="44" t="str"/>
      <x:c r="M17" s="44" t="str">
        <x:v>UNDETERMINED - claim-specific profile matrix required</x:v>
      </x:c>
      <x:c r="N17" s="44" t="str">
        <x:v>1.2 WD</x:v>
      </x:c>
      <x:c r="O17" s="44" t="str">
        <x:v>AERA-001-1.2WD-20260807.1</x:v>
      </x:c>
      <x:c r="P17" s="45" t="str">
        <x:v>Authoritative PDF Appendix A; generated from controlled source</x:v>
      </x:c>
    </x:row>
    <x:row r="18" ht="60" customHeight="1">
      <x:c r="A18" s="43" t="str">
        <x:v>AERA-CONF-001</x:v>
      </x:c>
      <x:c r="B18" s="44" t="str">
        <x:v>CONF</x:v>
      </x:c>
      <x:c r="C18" s="44" t="str">
        <x:v>A formal conformance claim SHALL identify the AERA version, profile, claimant, subject, decision population, architectural and operational boundaries, consequence scope, dependencies, inherited controls, exclusions, assessment-independence level, evidence-package identifier and assessment date, deviations, and date-based and event-based expiration conditions.</x:v>
      </x:c>
      <x:c r="D18" s="44" t="str">
        <x:v>I, A</x:v>
      </x:c>
      <x:c r="E18" s="44" t="str">
        <x:v>PROPOSED</x:v>
      </x:c>
      <x:c r="F18" s="44" t="str">
        <x:v>1.1 RC1 or earlier - lineage pending</x:v>
      </x:c>
      <x:c r="G18" s="44" t="str"/>
      <x:c r="H18" s="44" t="str"/>
      <x:c r="I18" s="44" t="str"/>
      <x:c r="J18" s="44" t="str"/>
      <x:c r="K18" s="44" t="str"/>
      <x:c r="L18" s="44" t="str"/>
      <x:c r="M18" s="44" t="str">
        <x:v>UNDETERMINED - claim-specific profile matrix required</x:v>
      </x:c>
      <x:c r="N18" s="44" t="str">
        <x:v>1.2 WD</x:v>
      </x:c>
      <x:c r="O18" s="44" t="str">
        <x:v>AERA-001-1.2WD-20260807.1</x:v>
      </x:c>
      <x:c r="P18" s="45" t="str">
        <x:v>Authoritative PDF Appendix A; generated from controlled source</x:v>
      </x:c>
    </x:row>
    <x:row r="19" ht="60" customHeight="1">
      <x:c r="A19" s="43" t="str">
        <x:v>AERA-CONF-002</x:v>
      </x:c>
      <x:c r="B19" s="44" t="str">
        <x:v>CONF</x:v>
      </x:c>
      <x:c r="C19" s="44" t="str">
        <x:v>For every requirement in the declared core and profile set, the claimant SHALL record applicability as APPLICABLE or NOT APPLICABLE separately from the assessment result; an APPLICABLE item SHALL be assessed SATISFIED, NOT SATISFIED, INDETERMINATE, or APPROVED DEVIATION, while a NOT APPLICABLE item SHALL identify rationale, evidence, approving authority, and invalidating conditions and SHALL NOT carry a satisfaction result.</x:v>
      </x:c>
      <x:c r="D19" s="44" t="str">
        <x:v>I, A</x:v>
      </x:c>
      <x:c r="E19" s="44" t="str">
        <x:v>PROPOSED</x:v>
      </x:c>
      <x:c r="F19" s="44" t="str">
        <x:v>1.1 RC1 or earlier - lineage pending</x:v>
      </x:c>
      <x:c r="G19" s="44" t="str">
        <x:v>1.2 WD</x:v>
      </x:c>
      <x:c r="H19" s="44" t="str"/>
      <x:c r="I19" s="44" t="str"/>
      <x:c r="J19" s="44" t="str"/>
      <x:c r="K19" s="44" t="str"/>
      <x:c r="L19" s="44" t="str">
        <x:v>Separated applicability from assessment result and added rationale, approval and invalidation metadata.</x:v>
      </x:c>
      <x:c r="M19" s="44" t="str">
        <x:v>UNDETERMINED - claim-specific profile matrix required</x:v>
      </x:c>
      <x:c r="N19" s="44" t="str">
        <x:v>1.2 WD</x:v>
      </x:c>
      <x:c r="O19" s="44" t="str">
        <x:v>AERA-001-1.2WD-20260807.1</x:v>
      </x:c>
      <x:c r="P19" s="45" t="str">
        <x:v>Authoritative PDF Appendix A; generated from controlled source</x:v>
      </x:c>
    </x:row>
    <x:row r="20" ht="60" customHeight="1">
      <x:c r="A20" s="43" t="str">
        <x:v>AERA-CONF-003</x:v>
      </x:c>
      <x:c r="B20" s="44" t="str">
        <x:v>CONF</x:v>
      </x:c>
      <x:c r="C20" s="44" t="str">
        <x:v>For each consequence-material capability, source, or control cited by an operational claim, the claimant SHALL identify the typed state model, report the highest evidenced control-deployment state as PRESENT, MONITORED, ACTIVE IN PATH, USED IN COMPUTATION, or VALIDATED EFFECTIVE, and SHALL NOT represent a lower state or a state from another model as establishing a higher state.</x:v>
      </x:c>
      <x:c r="D20" s="44" t="str">
        <x:v>I, T, D</x:v>
      </x:c>
      <x:c r="E20" s="44" t="str">
        <x:v>PROPOSED</x:v>
      </x:c>
      <x:c r="F20" s="44" t="str">
        <x:v>1.1 RC1 or earlier - lineage pending</x:v>
      </x:c>
      <x:c r="G20" s="44" t="str">
        <x:v>1.2 WD</x:v>
      </x:c>
      <x:c r="H20" s="44" t="str"/>
      <x:c r="I20" s="44" t="str"/>
      <x:c r="J20" s="44" t="str"/>
      <x:c r="K20" s="44" t="str"/>
      <x:c r="L20" s="44" t="str">
        <x:v>Typed the general control-deployment state model and prohibited promotion of a lower evidenced state.</x:v>
      </x:c>
      <x:c r="M20" s="44" t="str">
        <x:v>UNDETERMINED - claim-specific profile matrix required</x:v>
      </x:c>
      <x:c r="N20" s="44" t="str">
        <x:v>1.2 WD</x:v>
      </x:c>
      <x:c r="O20" s="44" t="str">
        <x:v>AERA-001-1.2WD-20260807.1</x:v>
      </x:c>
      <x:c r="P20" s="45" t="str">
        <x:v>Authoritative PDF Appendix A; generated from controlled source</x:v>
      </x:c>
    </x:row>
    <x:row r="21" ht="60" customHeight="1">
      <x:c r="A21" s="43" t="str">
        <x:v>AERA-CONF-004</x:v>
      </x:c>
      <x:c r="B21" s="44" t="str">
        <x:v>CONF</x:v>
      </x:c>
      <x:c r="C21" s="44" t="str">
        <x:v>Each deviation SHALL identify the unmet requirement, rationale, affected decision population and consequence class, compensating controls, residual risk, approving authority, monitoring, corrective action, expiration date, and event-based termination conditions.</x:v>
      </x:c>
      <x:c r="D21" s="44" t="str">
        <x:v>I, A</x:v>
      </x:c>
      <x:c r="E21" s="44" t="str">
        <x:v>PROPOSED</x:v>
      </x:c>
      <x:c r="F21" s="44" t="str">
        <x:v>1.1 RC1 or earlier - lineage pending</x:v>
      </x:c>
      <x:c r="G21" s="44" t="str"/>
      <x:c r="H21" s="44" t="str"/>
      <x:c r="I21" s="44" t="str"/>
      <x:c r="J21" s="44" t="str"/>
      <x:c r="K21" s="44" t="str"/>
      <x:c r="L21" s="44" t="str"/>
      <x:c r="M21" s="44" t="str">
        <x:v>UNDETERMINED - claim-specific profile matrix required</x:v>
      </x:c>
      <x:c r="N21" s="44" t="str">
        <x:v>1.2 WD</x:v>
      </x:c>
      <x:c r="O21" s="44" t="str">
        <x:v>AERA-001-1.2WD-20260807.1</x:v>
      </x:c>
      <x:c r="P21" s="45" t="str">
        <x:v>Authoritative PDF Appendix A; generated from controlled source</x:v>
      </x:c>
    </x:row>
    <x:row r="22" ht="60" customHeight="1">
      <x:c r="A22" s="43" t="str">
        <x:v>AERA-CONF-005</x:v>
      </x:c>
      <x:c r="B22" s="44" t="str">
        <x:v>CONF</x:v>
      </x:c>
      <x:c r="C22" s="44" t="str">
        <x:v>A claim with an active approved deviation SHALL be labeled CONDITIONALLY CONFORMING.</x:v>
      </x:c>
      <x:c r="D22" s="44" t="str">
        <x:v>I, A, T and/or D as consequence requires</x:v>
      </x:c>
      <x:c r="E22" s="44" t="str">
        <x:v>PROPOSED</x:v>
      </x:c>
      <x:c r="F22" s="44" t="str">
        <x:v>1.1 RC1 or earlier - lineage pending</x:v>
      </x:c>
      <x:c r="G22" s="44" t="str"/>
      <x:c r="H22" s="44" t="str"/>
      <x:c r="I22" s="44" t="str"/>
      <x:c r="J22" s="44" t="str"/>
      <x:c r="K22" s="44" t="str"/>
      <x:c r="L22" s="44" t="str"/>
      <x:c r="M22" s="44" t="str">
        <x:v>UNDETERMINED - claim-specific profile matrix required</x:v>
      </x:c>
      <x:c r="N22" s="44" t="str">
        <x:v>1.2 WD</x:v>
      </x:c>
      <x:c r="O22" s="44" t="str">
        <x:v>AERA-001-1.2WD-20260807.1</x:v>
      </x:c>
      <x:c r="P22" s="45" t="str">
        <x:v>Authoritative PDF Appendix A; generated from controlled source</x:v>
      </x:c>
    </x:row>
    <x:row r="23" ht="60" customHeight="1">
      <x:c r="A23" s="43" t="str">
        <x:v>AERA-CONF-006</x:v>
      </x:c>
      <x:c r="B23" s="44" t="str">
        <x:v>CONF</x:v>
      </x:c>
      <x:c r="C23" s="44" t="str">
        <x:v>An expired or unapproved deviation SHALL make the affected claim nonconforming.</x:v>
      </x:c>
      <x:c r="D23" s="44" t="str">
        <x:v>I, A, T and/or D as consequence requires</x:v>
      </x:c>
      <x:c r="E23" s="44" t="str">
        <x:v>PROPOSED</x:v>
      </x:c>
      <x:c r="F23" s="44" t="str">
        <x:v>1.1 RC1 or earlier - lineage pending</x:v>
      </x:c>
      <x:c r="G23" s="44" t="str"/>
      <x:c r="H23" s="44" t="str"/>
      <x:c r="I23" s="44" t="str"/>
      <x:c r="J23" s="44" t="str"/>
      <x:c r="K23" s="44" t="str"/>
      <x:c r="L23" s="44" t="str"/>
      <x:c r="M23" s="44" t="str">
        <x:v>UNDETERMINED - claim-specific profile matrix required</x:v>
      </x:c>
      <x:c r="N23" s="44" t="str">
        <x:v>1.2 WD</x:v>
      </x:c>
      <x:c r="O23" s="44" t="str">
        <x:v>AERA-001-1.2WD-20260807.1</x:v>
      </x:c>
      <x:c r="P23" s="45" t="str">
        <x:v>Authoritative PDF Appendix A; generated from controlled source</x:v>
      </x:c>
    </x:row>
    <x:row r="24" ht="60" customHeight="1">
      <x:c r="A24" s="43" t="str">
        <x:v>AERA-CONF-007</x:v>
      </x:c>
      <x:c r="B24" s="44" t="str">
        <x:v>CONF</x:v>
      </x:c>
      <x:c r="C24" s="44" t="str">
        <x:v>Inherited controls SHALL be validated at the relying boundary and monitored for withdrawal conditions.</x:v>
      </x:c>
      <x:c r="D24" s="44" t="str">
        <x:v>I, A, T and/or D as consequence requires</x:v>
      </x:c>
      <x:c r="E24" s="44" t="str">
        <x:v>PROPOSED</x:v>
      </x:c>
      <x:c r="F24" s="44" t="str">
        <x:v>1.1 RC1 or earlier - lineage pending</x:v>
      </x:c>
      <x:c r="G24" s="44" t="str"/>
      <x:c r="H24" s="44" t="str"/>
      <x:c r="I24" s="44" t="str"/>
      <x:c r="J24" s="44" t="str"/>
      <x:c r="K24" s="44" t="str"/>
      <x:c r="L24" s="44" t="str"/>
      <x:c r="M24" s="44" t="str">
        <x:v>UNDETERMINED - claim-specific profile matrix required</x:v>
      </x:c>
      <x:c r="N24" s="44" t="str">
        <x:v>1.2 WD</x:v>
      </x:c>
      <x:c r="O24" s="44" t="str">
        <x:v>AERA-001-1.2WD-20260807.1</x:v>
      </x:c>
      <x:c r="P24" s="45" t="str">
        <x:v>Authoritative PDF Appendix A; generated from controlled source</x:v>
      </x:c>
    </x:row>
    <x:row r="25" ht="60" customHeight="1">
      <x:c r="A25" s="43" t="str">
        <x:v>AERA-CONF-008</x:v>
      </x:c>
      <x:c r="B25" s="44" t="str">
        <x:v>CONF</x:v>
      </x:c>
      <x:c r="C25" s="44" t="str">
        <x:v>Material change SHALL suspend reliance on affected evidence until reassessment is complete.</x:v>
      </x:c>
      <x:c r="D25" s="44" t="str">
        <x:v>I, A, T and/or D as consequence requires</x:v>
      </x:c>
      <x:c r="E25" s="44" t="str">
        <x:v>PROPOSED</x:v>
      </x:c>
      <x:c r="F25" s="44" t="str">
        <x:v>1.1 RC1 or earlier - lineage pending</x:v>
      </x:c>
      <x:c r="G25" s="44" t="str"/>
      <x:c r="H25" s="44" t="str"/>
      <x:c r="I25" s="44" t="str"/>
      <x:c r="J25" s="44" t="str"/>
      <x:c r="K25" s="44" t="str"/>
      <x:c r="L25" s="44" t="str"/>
      <x:c r="M25" s="44" t="str">
        <x:v>UNDETERMINED - claim-specific profile matrix required</x:v>
      </x:c>
      <x:c r="N25" s="44" t="str">
        <x:v>1.2 WD</x:v>
      </x:c>
      <x:c r="O25" s="44" t="str">
        <x:v>AERA-001-1.2WD-20260807.1</x:v>
      </x:c>
      <x:c r="P25" s="45" t="str">
        <x:v>Authoritative PDF Appendix A; generated from controlled source</x:v>
      </x:c>
    </x:row>
    <x:row r="26" ht="60" customHeight="1">
      <x:c r="A26" s="43" t="str">
        <x:v>AERA-CONF-009</x:v>
      </x:c>
      <x:c r="B26" s="44" t="str">
        <x:v>CONF</x:v>
      </x:c>
      <x:c r="C26" s="44" t="str">
        <x:v>Assessment independence SHALL be reported separately as self, independent internal or external assessment.</x:v>
      </x:c>
      <x:c r="D26" s="44" t="str">
        <x:v>I, A, T and/or D as consequence requires</x:v>
      </x:c>
      <x:c r="E26" s="44" t="str">
        <x:v>PROPOSED</x:v>
      </x:c>
      <x:c r="F26" s="44" t="str">
        <x:v>1.1 RC1 or earlier - lineage pending</x:v>
      </x:c>
      <x:c r="G26" s="44" t="str"/>
      <x:c r="H26" s="44" t="str"/>
      <x:c r="I26" s="44" t="str"/>
      <x:c r="J26" s="44" t="str"/>
      <x:c r="K26" s="44" t="str"/>
      <x:c r="L26" s="44" t="str"/>
      <x:c r="M26" s="44" t="str">
        <x:v>UNDETERMINED - claim-specific profile matrix required</x:v>
      </x:c>
      <x:c r="N26" s="44" t="str">
        <x:v>1.2 WD</x:v>
      </x:c>
      <x:c r="O26" s="44" t="str">
        <x:v>AERA-001-1.2WD-20260807.1</x:v>
      </x:c>
      <x:c r="P26" s="45" t="str">
        <x:v>Authoritative PDF Appendix A; generated from controlled source</x:v>
      </x:c>
    </x:row>
    <x:row r="27" ht="60" customHeight="1">
      <x:c r="A27" s="43" t="str">
        <x:v>AERA-CONF-010</x:v>
      </x:c>
      <x:c r="B27" s="44" t="str">
        <x:v>CONF</x:v>
      </x:c>
      <x:c r="C27" s="44" t="str">
        <x:v>AERA-aligned SHALL NOT be presented as equivalent to conforming, certified or compliant.</x:v>
      </x:c>
      <x:c r="D27" s="44" t="str">
        <x:v>I, A, T and/or D as consequence requires</x:v>
      </x:c>
      <x:c r="E27" s="44" t="str">
        <x:v>PROPOSED</x:v>
      </x:c>
      <x:c r="F27" s="44" t="str">
        <x:v>1.1 RC1 or earlier - lineage pending</x:v>
      </x:c>
      <x:c r="G27" s="44" t="str"/>
      <x:c r="H27" s="44" t="str"/>
      <x:c r="I27" s="44" t="str"/>
      <x:c r="J27" s="44" t="str"/>
      <x:c r="K27" s="44" t="str"/>
      <x:c r="L27" s="44" t="str"/>
      <x:c r="M27" s="44" t="str">
        <x:v>UNDETERMINED - claim-specific profile matrix required</x:v>
      </x:c>
      <x:c r="N27" s="44" t="str">
        <x:v>1.2 WD</x:v>
      </x:c>
      <x:c r="O27" s="44" t="str">
        <x:v>AERA-001-1.2WD-20260807.1</x:v>
      </x:c>
      <x:c r="P27" s="45" t="str">
        <x:v>Authoritative PDF Appendix A; generated from controlled source</x:v>
      </x:c>
    </x:row>
    <x:row r="28" ht="60" customHeight="1">
      <x:c r="A28" s="43" t="str">
        <x:v>AERA-CONS-101</x:v>
      </x:c>
      <x:c r="B28" s="44" t="str">
        <x:v>CONS</x:v>
      </x:c>
      <x:c r="C28" s="44" t="str">
        <x:v>Each decision class SHALL use a documented consequence-classification method that addresses severity, affected scope, reversibility, time to harm, propagation, detectability, cumulative effects, mission significance, legal, rights, and safety significance, recovery time and resources, and uncertainty.</x:v>
      </x:c>
      <x:c r="D28" s="44" t="str">
        <x:v>I, A</x:v>
      </x:c>
      <x:c r="E28" s="44" t="str">
        <x:v>PROPOSED</x:v>
      </x:c>
      <x:c r="F28" s="44" t="str">
        <x:v>1.1 RC1 or earlier - lineage pending</x:v>
      </x:c>
      <x:c r="G28" s="44" t="str"/>
      <x:c r="H28" s="44" t="str"/>
      <x:c r="I28" s="44" t="str"/>
      <x:c r="J28" s="44" t="str"/>
      <x:c r="K28" s="44" t="str"/>
      <x:c r="L28" s="44" t="str"/>
      <x:c r="M28" s="44" t="str">
        <x:v>UNDETERMINED - claim-specific profile matrix required</x:v>
      </x:c>
      <x:c r="N28" s="44" t="str">
        <x:v>1.2 WD</x:v>
      </x:c>
      <x:c r="O28" s="44" t="str">
        <x:v>AERA-001-1.2WD-20260807.1</x:v>
      </x:c>
      <x:c r="P28" s="45" t="str">
        <x:v>Authoritative PDF Appendix A; generated from controlled source</x:v>
      </x:c>
    </x:row>
    <x:row r="29" ht="60" customHeight="1">
      <x:c r="A29" s="43" t="str">
        <x:v>AERA-CONS-102</x:v>
      </x:c>
      <x:c r="B29" s="44" t="str">
        <x:v>CONS</x:v>
      </x:c>
      <x:c r="C29" s="44" t="str">
        <x:v>Consequence classification SHALL use the highest class indicated by the worst credible direct, secondary, cumulative, propagated, or irreversible effect within the declared operating and threat context.</x:v>
      </x:c>
      <x:c r="D29" s="44" t="str">
        <x:v>A, T</x:v>
      </x:c>
      <x:c r="E29" s="44" t="str">
        <x:v>PROPOSED</x:v>
      </x:c>
      <x:c r="F29" s="44" t="str">
        <x:v>1.1 RC1 or earlier - lineage pending</x:v>
      </x:c>
      <x:c r="G29" s="44" t="str"/>
      <x:c r="H29" s="44" t="str"/>
      <x:c r="I29" s="44" t="str"/>
      <x:c r="J29" s="44" t="str"/>
      <x:c r="K29" s="44" t="str"/>
      <x:c r="L29" s="44" t="str"/>
      <x:c r="M29" s="44" t="str">
        <x:v>UNDETERMINED - claim-specific profile matrix required</x:v>
      </x:c>
      <x:c r="N29" s="44" t="str">
        <x:v>1.2 WD</x:v>
      </x:c>
      <x:c r="O29" s="44" t="str">
        <x:v>AERA-001-1.2WD-20260807.1</x:v>
      </x:c>
      <x:c r="P29" s="45" t="str">
        <x:v>Authoritative PDF Appendix A; generated from controlled source</x:v>
      </x:c>
    </x:row>
    <x:row r="30" ht="60" customHeight="1">
      <x:c r="A30" s="43" t="str">
        <x:v>AERA-CONS-103</x:v>
      </x:c>
      <x:c r="B30" s="44" t="str">
        <x:v>CONS</x:v>
      </x:c>
      <x:c r="C30" s="44" t="str">
        <x:v>A consequence attribute that establishes a higher minimum class SHALL NOT be reduced by averaging or offsetting it against lower-consequence attributes.</x:v>
      </x:c>
      <x:c r="D30" s="44" t="str">
        <x:v>I, A, T</x:v>
      </x:c>
      <x:c r="E30" s="44" t="str">
        <x:v>PROPOSED</x:v>
      </x:c>
      <x:c r="F30" s="44" t="str">
        <x:v>1.1 RC1 or earlier - lineage pending</x:v>
      </x:c>
      <x:c r="G30" s="44" t="str"/>
      <x:c r="H30" s="44" t="str"/>
      <x:c r="I30" s="44" t="str"/>
      <x:c r="J30" s="44" t="str"/>
      <x:c r="K30" s="44" t="str"/>
      <x:c r="L30" s="44" t="str"/>
      <x:c r="M30" s="44" t="str">
        <x:v>UNDETERMINED - claim-specific profile matrix required</x:v>
      </x:c>
      <x:c r="N30" s="44" t="str">
        <x:v>1.2 WD</x:v>
      </x:c>
      <x:c r="O30" s="44" t="str">
        <x:v>AERA-001-1.2WD-20260807.1</x:v>
      </x:c>
      <x:c r="P30" s="45" t="str">
        <x:v>Authoritative PDF Appendix A; generated from controlled source</x:v>
      </x:c>
    </x:row>
    <x:row r="31" ht="60" customHeight="1">
      <x:c r="A31" s="43" t="str">
        <x:v>AERA-CONS-104</x:v>
      </x:c>
      <x:c r="B31" s="44" t="str">
        <x:v>CONS</x:v>
      </x:c>
      <x:c r="C31" s="44" t="str">
        <x:v>The DAF SHALL re-evaluate consequence before further authorization when a sequence, batch, concurrent set, campaign, or portfolio can exceed an individual-action limit or alter the worst credible effect.</x:v>
      </x:c>
      <x:c r="D31" s="44" t="str">
        <x:v>A, T</x:v>
      </x:c>
      <x:c r="E31" s="44" t="str">
        <x:v>PROPOSED</x:v>
      </x:c>
      <x:c r="F31" s="44" t="str">
        <x:v>1.1 RC1 or earlier - lineage pending</x:v>
      </x:c>
      <x:c r="G31" s="44" t="str"/>
      <x:c r="H31" s="44" t="str"/>
      <x:c r="I31" s="44" t="str"/>
      <x:c r="J31" s="44" t="str"/>
      <x:c r="K31" s="44" t="str"/>
      <x:c r="L31" s="44" t="str"/>
      <x:c r="M31" s="44" t="str">
        <x:v>UNDETERMINED - claim-specific profile matrix required</x:v>
      </x:c>
      <x:c r="N31" s="44" t="str">
        <x:v>1.2 WD</x:v>
      </x:c>
      <x:c r="O31" s="44" t="str">
        <x:v>AERA-001-1.2WD-20260807.1</x:v>
      </x:c>
      <x:c r="P31" s="45" t="str">
        <x:v>Authoritative PDF Appendix A; generated from controlled source</x:v>
      </x:c>
    </x:row>
    <x:row r="32" ht="60" customHeight="1">
      <x:c r="A32" s="43" t="str">
        <x:v>AERA-CONS-105</x:v>
      </x:c>
      <x:c r="B32" s="44" t="str">
        <x:v>CONS</x:v>
      </x:c>
      <x:c r="C32" s="44" t="str">
        <x:v>When available evidence supports more than one consequence class, classification SHALL use the highest applicable class until evidence supports a narrower class and the downgrade is approved by an authority independent of the proposer.</x:v>
      </x:c>
      <x:c r="D32" s="44" t="str">
        <x:v>I, A, T</x:v>
      </x:c>
      <x:c r="E32" s="44" t="str">
        <x:v>PROPOSED</x:v>
      </x:c>
      <x:c r="F32" s="44" t="str">
        <x:v>1.1 RC1 or earlier - lineage pending</x:v>
      </x:c>
      <x:c r="G32" s="44" t="str"/>
      <x:c r="H32" s="44" t="str"/>
      <x:c r="I32" s="44" t="str"/>
      <x:c r="J32" s="44" t="str"/>
      <x:c r="K32" s="44" t="str"/>
      <x:c r="L32" s="44" t="str"/>
      <x:c r="M32" s="44" t="str">
        <x:v>UNDETERMINED - claim-specific profile matrix required</x:v>
      </x:c>
      <x:c r="N32" s="44" t="str">
        <x:v>1.2 WD</x:v>
      </x:c>
      <x:c r="O32" s="44" t="str">
        <x:v>AERA-001-1.2WD-20260807.1</x:v>
      </x:c>
      <x:c r="P32" s="45" t="str">
        <x:v>Authoritative PDF Appendix A; generated from controlled source</x:v>
      </x:c>
    </x:row>
    <x:row r="33" ht="60" customHeight="1">
      <x:c r="A33" s="43" t="str">
        <x:v>AERA-CONS-106</x:v>
      </x:c>
      <x:c r="B33" s="44" t="str">
        <x:v>CONS</x:v>
      </x:c>
      <x:c r="C33" s="44" t="str">
        <x:v>When concurrent transactions share a cumulative effect or resource limit, the DAF and enforcement path SHALL use bounded reservations or an equivalent atomic control that prevents aggregate authorized or executed effects from exceeding the limit.</x:v>
      </x:c>
      <x:c r="D33" s="44" t="str">
        <x:v>A, T</x:v>
      </x:c>
      <x:c r="E33" s="44" t="str">
        <x:v>PROPOSED</x:v>
      </x:c>
      <x:c r="F33" s="44" t="str">
        <x:v>1.1 RC1 or earlier - lineage pending</x:v>
      </x:c>
      <x:c r="G33" s="44" t="str"/>
      <x:c r="H33" s="44" t="str"/>
      <x:c r="I33" s="44" t="str"/>
      <x:c r="J33" s="44" t="str"/>
      <x:c r="K33" s="44" t="str"/>
      <x:c r="L33" s="44" t="str"/>
      <x:c r="M33" s="44" t="str">
        <x:v>UNDETERMINED - claim-specific profile matrix required</x:v>
      </x:c>
      <x:c r="N33" s="44" t="str">
        <x:v>1.2 WD</x:v>
      </x:c>
      <x:c r="O33" s="44" t="str">
        <x:v>AERA-001-1.2WD-20260807.1</x:v>
      </x:c>
      <x:c r="P33" s="45" t="str">
        <x:v>Authoritative PDF Appendix A; generated from controlled source</x:v>
      </x:c>
    </x:row>
    <x:row r="34" ht="60" customHeight="1">
      <x:c r="A34" s="43" t="str">
        <x:v>AERA-CY-001</x:v>
      </x:c>
      <x:c r="B34" s="44" t="str">
        <x:v>CY</x:v>
      </x:c>
      <x:c r="C34" s="44" t="str">
        <x:v>Credentials used on a material-effect path SHALL be scoped, to the extent supported, to the authorized actor, audience, action, target, context, and validity interval; where native credential scoping is insufficient, the enforcement point SHALL enforce equivalent restrictions.</x:v>
      </x:c>
      <x:c r="D34" s="44" t="str">
        <x:v>I, T</x:v>
      </x:c>
      <x:c r="E34" s="44" t="str">
        <x:v>PROPOSED</x:v>
      </x:c>
      <x:c r="F34" s="44" t="str">
        <x:v>1.1 RC1 or earlier - lineage pending</x:v>
      </x:c>
      <x:c r="G34" s="44" t="str"/>
      <x:c r="H34" s="44" t="str"/>
      <x:c r="I34" s="44" t="str"/>
      <x:c r="J34" s="44" t="str"/>
      <x:c r="K34" s="44" t="str"/>
      <x:c r="L34" s="44" t="str"/>
      <x:c r="M34" s="44" t="str">
        <x:v>UNDETERMINED - claim-specific profile matrix required</x:v>
      </x:c>
      <x:c r="N34" s="44" t="str">
        <x:v>1.2 WD</x:v>
      </x:c>
      <x:c r="O34" s="44" t="str">
        <x:v>AERA-001-1.2WD-20260807.1</x:v>
      </x:c>
      <x:c r="P34" s="45" t="str">
        <x:v>Authoritative PDF Appendix A; generated from controlled source</x:v>
      </x:c>
    </x:row>
    <x:row r="35" ht="60" customHeight="1">
      <x:c r="A35" s="43" t="str">
        <x:v>AERA-CY-002</x:v>
      </x:c>
      <x:c r="B35" s="44" t="str">
        <x:v>CY</x:v>
      </x:c>
      <x:c r="C35" s="44" t="str">
        <x:v>Each material effect SHALL pass through an enforcement point that is independently controllable from the proposer and capable of mediating the exact authorized actor, action, target, parameters, and context before the effect becomes irreversible or exits the recovery envelope.</x:v>
      </x:c>
      <x:c r="D35" s="44" t="str">
        <x:v>A, T</x:v>
      </x:c>
      <x:c r="E35" s="44" t="str">
        <x:v>PROPOSED</x:v>
      </x:c>
      <x:c r="F35" s="44" t="str">
        <x:v>1.1 RC1 or earlier - lineage pending</x:v>
      </x:c>
      <x:c r="G35" s="44" t="str"/>
      <x:c r="H35" s="44" t="str"/>
      <x:c r="I35" s="44" t="str"/>
      <x:c r="J35" s="44" t="str"/>
      <x:c r="K35" s="44" t="str"/>
      <x:c r="L35" s="44" t="str"/>
      <x:c r="M35" s="44" t="str">
        <x:v>UNDETERMINED - claim-specific profile matrix required</x:v>
      </x:c>
      <x:c r="N35" s="44" t="str">
        <x:v>1.2 WD</x:v>
      </x:c>
      <x:c r="O35" s="44" t="str">
        <x:v>AERA-001-1.2WD-20260807.1</x:v>
      </x:c>
      <x:c r="P35" s="45" t="str">
        <x:v>Authoritative PDF Appendix A; generated from controlled source</x:v>
      </x:c>
    </x:row>
    <x:row r="36" ht="60" customHeight="1">
      <x:c r="A36" s="43" t="str">
        <x:v>AERA-CY-003</x:v>
      </x:c>
      <x:c r="B36" s="44" t="str">
        <x:v>CY</x:v>
      </x:c>
      <x:c r="C36" s="44" t="str">
        <x:v>For each material decision transaction, the implementation SHALL retain a tamper-evident record sufficient to reconstruct the causal chain from intent and authority through actor and configuration, proposal, evidence and provenance, policy and assurance verdicts, disposition, credential use, enforcement, observed effect, override, exception, and recovery.</x:v>
      </x:c>
      <x:c r="D36" s="44" t="str">
        <x:v>I, T, D</x:v>
      </x:c>
      <x:c r="E36" s="44" t="str">
        <x:v>PROPOSED</x:v>
      </x:c>
      <x:c r="F36" s="44" t="str">
        <x:v>1.1 RC1 or earlier - lineage pending</x:v>
      </x:c>
      <x:c r="G36" s="44" t="str"/>
      <x:c r="H36" s="44" t="str"/>
      <x:c r="I36" s="44" t="str"/>
      <x:c r="J36" s="44" t="str"/>
      <x:c r="K36" s="44" t="str"/>
      <x:c r="L36" s="44" t="str"/>
      <x:c r="M36" s="44" t="str">
        <x:v>UNDETERMINED - claim-specific profile matrix required</x:v>
      </x:c>
      <x:c r="N36" s="44" t="str">
        <x:v>1.2 WD</x:v>
      </x:c>
      <x:c r="O36" s="44" t="str">
        <x:v>AERA-001-1.2WD-20260807.1</x:v>
      </x:c>
      <x:c r="P36" s="45" t="str">
        <x:v>Authoritative PDF Appendix A; generated from controlled source</x:v>
      </x:c>
    </x:row>
    <x:row r="37" ht="60" customHeight="1">
      <x:c r="A37" s="43" t="str">
        <x:v>AERA-CY-004</x:v>
      </x:c>
      <x:c r="B37" s="44" t="str">
        <x:v>CY</x:v>
      </x:c>
      <x:c r="C37" s="44" t="str">
        <x:v>Cryptographic migration SHALL be driven by inventory, exposure period and interoperability evidence.</x:v>
      </x:c>
      <x:c r="D37" s="44" t="str">
        <x:v>I, A, T and/or D as consequence requires</x:v>
      </x:c>
      <x:c r="E37" s="44" t="str">
        <x:v>PROPOSED</x:v>
      </x:c>
      <x:c r="F37" s="44" t="str">
        <x:v>1.1 RC1 or earlier - lineage pending</x:v>
      </x:c>
      <x:c r="G37" s="44" t="str"/>
      <x:c r="H37" s="44" t="str"/>
      <x:c r="I37" s="44" t="str"/>
      <x:c r="J37" s="44" t="str"/>
      <x:c r="K37" s="44" t="str"/>
      <x:c r="L37" s="44" t="str"/>
      <x:c r="M37" s="44" t="str">
        <x:v>UNDETERMINED - claim-specific profile matrix required</x:v>
      </x:c>
      <x:c r="N37" s="44" t="str">
        <x:v>1.2 WD</x:v>
      </x:c>
      <x:c r="O37" s="44" t="str">
        <x:v>AERA-001-1.2WD-20260807.1</x:v>
      </x:c>
      <x:c r="P37" s="45" t="str">
        <x:v>Authoritative PDF Appendix A; generated from controlled source</x:v>
      </x:c>
    </x:row>
    <x:row r="38" ht="60" customHeight="1">
      <x:c r="A38" s="43" t="str">
        <x:v>AERA-DA-001</x:v>
      </x:c>
      <x:c r="B38" s="44" t="str">
        <x:v>DA</x:v>
      </x:c>
      <x:c r="C38" s="44" t="str">
        <x:v>Each decision class SHALL identify an accountable human authority who owns the delegation policy, approves residual risk, and remains answerable for autonomous outcomes.</x:v>
      </x:c>
      <x:c r="D38" s="44" t="str">
        <x:v>Approved responsibility assignment; decision-class register; sampled interviews and authorization records.</x:v>
      </x:c>
      <x:c r="E38" s="44" t="str">
        <x:v>PROPOSED</x:v>
      </x:c>
      <x:c r="F38" s="44" t="str">
        <x:v>1.1 RC1 or earlier - lineage pending</x:v>
      </x:c>
      <x:c r="G38" s="44" t="str"/>
      <x:c r="H38" s="44" t="str"/>
      <x:c r="I38" s="44" t="str"/>
      <x:c r="J38" s="44" t="str"/>
      <x:c r="K38" s="44" t="str"/>
      <x:c r="L38" s="44" t="str"/>
      <x:c r="M38" s="44" t="str">
        <x:v>UNDETERMINED - claim-specific profile matrix required</x:v>
      </x:c>
      <x:c r="N38" s="44" t="str">
        <x:v>1.2 WD</x:v>
      </x:c>
      <x:c r="O38" s="44" t="str">
        <x:v>AERA-001-1.2WD-20260807.1</x:v>
      </x:c>
      <x:c r="P38" s="45" t="str">
        <x:v>Authoritative PDF Appendix A; generated from controlled source</x:v>
      </x:c>
    </x:row>
    <x:row r="39" ht="60" customHeight="1">
      <x:c r="A39" s="43" t="str">
        <x:v>AERA-DA-002</x:v>
      </x:c>
      <x:c r="B39" s="44" t="str">
        <x:v>DA</x:v>
      </x:c>
      <x:c r="C39" s="44" t="str">
        <x:v>Every delegation SHALL identify the grantor, grantee, decision class, allowed effects, prohibited effects, target scope, consequence ceiling, context predicates, validity interval, subdelegation permission, and revocation method.</x:v>
      </x:c>
      <x:c r="D39" s="44" t="str">
        <x:v>Machine-readable schema; validation tests; positive and negative delegation cases.</x:v>
      </x:c>
      <x:c r="E39" s="44" t="str">
        <x:v>PROPOSED</x:v>
      </x:c>
      <x:c r="F39" s="44" t="str">
        <x:v>1.1 RC1 or earlier - lineage pending</x:v>
      </x:c>
      <x:c r="G39" s="44" t="str"/>
      <x:c r="H39" s="44" t="str"/>
      <x:c r="I39" s="44" t="str"/>
      <x:c r="J39" s="44" t="str"/>
      <x:c r="K39" s="44" t="str"/>
      <x:c r="L39" s="44" t="str"/>
      <x:c r="M39" s="44" t="str">
        <x:v>UNDETERMINED - claim-specific profile matrix required</x:v>
      </x:c>
      <x:c r="N39" s="44" t="str">
        <x:v>1.2 WD</x:v>
      </x:c>
      <x:c r="O39" s="44" t="str">
        <x:v>AERA-001-1.2WD-20260807.1</x:v>
      </x:c>
      <x:c r="P39" s="45" t="str">
        <x:v>Authoritative PDF Appendix A; generated from controlled source</x:v>
      </x:c>
    </x:row>
    <x:row r="40" ht="60" customHeight="1">
      <x:c r="A40" s="43" t="str">
        <x:v>AERA-DA-003</x:v>
      </x:c>
      <x:c r="B40" s="44" t="str">
        <x:v>DA</x:v>
      </x:c>
      <x:c r="C40" s="44" t="str">
        <x:v>Before authorization, the implementation SHALL validate the complete delegation chain to an approved trust anchor and SHALL NOT accept a missing, reordered, ambiguous, or unauthorized parent grant.</x:v>
      </x:c>
      <x:c r="D40" s="44" t="str">
        <x:v>Chain-validation logs; malformed-chain tests; trust-anchor inventory.</x:v>
      </x:c>
      <x:c r="E40" s="44" t="str">
        <x:v>PROPOSED</x:v>
      </x:c>
      <x:c r="F40" s="44" t="str">
        <x:v>1.1 RC1 or earlier - lineage pending</x:v>
      </x:c>
      <x:c r="G40" s="44" t="str"/>
      <x:c r="H40" s="44" t="str"/>
      <x:c r="I40" s="44" t="str"/>
      <x:c r="J40" s="44" t="str"/>
      <x:c r="K40" s="44" t="str"/>
      <x:c r="L40" s="44" t="str"/>
      <x:c r="M40" s="44" t="str">
        <x:v>UNDETERMINED - claim-specific profile matrix required</x:v>
      </x:c>
      <x:c r="N40" s="44" t="str">
        <x:v>1.2 WD</x:v>
      </x:c>
      <x:c r="O40" s="44" t="str">
        <x:v>AERA-001-1.2WD-20260807.1</x:v>
      </x:c>
      <x:c r="P40" s="45" t="str">
        <x:v>Authoritative PDF Appendix A; generated from controlled source</x:v>
      </x:c>
    </x:row>
    <x:row r="41" ht="60" customHeight="1">
      <x:c r="A41" s="43" t="str">
        <x:v>AERA-DA-004</x:v>
      </x:c>
      <x:c r="B41" s="44" t="str">
        <x:v>DA</x:v>
      </x:c>
      <x:c r="C41" s="44" t="str">
        <x:v>Subdelegation SHALL be denied unless the parent grant explicitly permits it and the derived grant is no broader in effect, consequence, duration, target, tool, or context.</x:v>
      </x:c>
      <x:c r="D41" s="44" t="str">
        <x:v>Derived-grant comparison tests; transitive audit records; denied escalation cases.</x:v>
      </x:c>
      <x:c r="E41" s="44" t="str">
        <x:v>PROPOSED</x:v>
      </x:c>
      <x:c r="F41" s="44" t="str">
        <x:v>1.1 RC1 or earlier - lineage pending</x:v>
      </x:c>
      <x:c r="G41" s="44" t="str"/>
      <x:c r="H41" s="44" t="str"/>
      <x:c r="I41" s="44" t="str"/>
      <x:c r="J41" s="44" t="str"/>
      <x:c r="K41" s="44" t="str"/>
      <x:c r="L41" s="44" t="str"/>
      <x:c r="M41" s="44" t="str">
        <x:v>UNDETERMINED - claim-specific profile matrix required</x:v>
      </x:c>
      <x:c r="N41" s="44" t="str">
        <x:v>1.2 WD</x:v>
      </x:c>
      <x:c r="O41" s="44" t="str">
        <x:v>AERA-001-1.2WD-20260807.1</x:v>
      </x:c>
      <x:c r="P41" s="45" t="str">
        <x:v>Authoritative PDF Appendix A; generated from controlled source</x:v>
      </x:c>
    </x:row>
    <x:row r="42" ht="60" customHeight="1">
      <x:c r="A42" s="43" t="str">
        <x:v>AERA-DA-005</x:v>
      </x:c>
      <x:c r="B42" s="44" t="str">
        <x:v>DA</x:v>
      </x:c>
      <x:c r="C42" s="44" t="str">
        <x:v>Revocation, expiry, actor-integrity loss, and material context change SHALL invalidate dependent authorization state within a documented maximum propagation time; stale state SHALL NOT authorize a new effect.</x:v>
      </x:c>
      <x:c r="D42" s="44" t="str">
        <x:v>Revocation latency measurement; partition tests; cache-behavior evidence.</x:v>
      </x:c>
      <x:c r="E42" s="44" t="str">
        <x:v>PROPOSED</x:v>
      </x:c>
      <x:c r="F42" s="44" t="str">
        <x:v>1.1 RC1 or earlier - lineage pending</x:v>
      </x:c>
      <x:c r="G42" s="44" t="str"/>
      <x:c r="H42" s="44" t="str"/>
      <x:c r="I42" s="44" t="str"/>
      <x:c r="J42" s="44" t="str"/>
      <x:c r="K42" s="44" t="str"/>
      <x:c r="L42" s="44" t="str"/>
      <x:c r="M42" s="44" t="str">
        <x:v>UNDETERMINED - claim-specific profile matrix required</x:v>
      </x:c>
      <x:c r="N42" s="44" t="str">
        <x:v>1.2 WD</x:v>
      </x:c>
      <x:c r="O42" s="44" t="str">
        <x:v>AERA-001-1.2WD-20260807.1</x:v>
      </x:c>
      <x:c r="P42" s="45" t="str">
        <x:v>Authoritative PDF Appendix A; generated from controlled source</x:v>
      </x:c>
    </x:row>
    <x:row r="43" ht="60" customHeight="1">
      <x:c r="A43" s="43" t="str">
        <x:v>AERA-DA-006</x:v>
      </x:c>
      <x:c r="B43" s="44" t="str">
        <x:v>DA</x:v>
      </x:c>
      <x:c r="C43" s="44" t="str">
        <x:v>The capability to grant authority, propose an action, classify consequence, authorize, enforce, and approve an override SHALL be separated according to consequence, and incompatible combinations SHALL require documented compensating controls.</x:v>
      </x:c>
      <x:c r="D43" s="44" t="str">
        <x:v>Role matrix; policy tests; override review; compensating-control approval.</x:v>
      </x:c>
      <x:c r="E43" s="44" t="str">
        <x:v>PROPOSED</x:v>
      </x:c>
      <x:c r="F43" s="44" t="str">
        <x:v>1.1 RC1 or earlier - lineage pending</x:v>
      </x:c>
      <x:c r="G43" s="44" t="str"/>
      <x:c r="H43" s="44" t="str"/>
      <x:c r="I43" s="44" t="str"/>
      <x:c r="J43" s="44" t="str"/>
      <x:c r="K43" s="44" t="str"/>
      <x:c r="L43" s="44" t="str"/>
      <x:c r="M43" s="44" t="str">
        <x:v>UNDETERMINED - claim-specific profile matrix required</x:v>
      </x:c>
      <x:c r="N43" s="44" t="str">
        <x:v>1.2 WD</x:v>
      </x:c>
      <x:c r="O43" s="44" t="str">
        <x:v>AERA-001-1.2WD-20260807.1</x:v>
      </x:c>
      <x:c r="P43" s="45" t="str">
        <x:v>Authoritative PDF Appendix A; generated from controlled source</x:v>
      </x:c>
    </x:row>
    <x:row r="44" ht="60" customHeight="1">
      <x:c r="A44" s="43" t="str">
        <x:v>AERA-DA-007</x:v>
      </x:c>
      <x:c r="B44" s="44" t="str">
        <x:v>DA</x:v>
      </x:c>
      <x:c r="C44" s="44" t="str">
        <x:v>Each non-human actor SHALL use a workload identity bound to its owner, role, model or software version, runtime integrity state, allowed tools, and consequence ceiling; a human account SHALL NOT be reused as the actor identity.</x:v>
      </x:c>
      <x:c r="D44" s="44" t="str">
        <x:v>Workload identity records; attestation or equivalent integrity evidence; credential-use logs.</x:v>
      </x:c>
      <x:c r="E44" s="44" t="str">
        <x:v>PROPOSED</x:v>
      </x:c>
      <x:c r="F44" s="44" t="str">
        <x:v>1.1 RC1 or earlier - lineage pending</x:v>
      </x:c>
      <x:c r="G44" s="44" t="str"/>
      <x:c r="H44" s="44" t="str"/>
      <x:c r="I44" s="44" t="str"/>
      <x:c r="J44" s="44" t="str"/>
      <x:c r="K44" s="44" t="str"/>
      <x:c r="L44" s="44" t="str"/>
      <x:c r="M44" s="44" t="str">
        <x:v>UNDETERMINED - claim-specific profile matrix required</x:v>
      </x:c>
      <x:c r="N44" s="44" t="str">
        <x:v>1.2 WD</x:v>
      </x:c>
      <x:c r="O44" s="44" t="str">
        <x:v>AERA-001-1.2WD-20260807.1</x:v>
      </x:c>
      <x:c r="P44" s="45" t="str">
        <x:v>Authoritative PDF Appendix A; generated from controlled source</x:v>
      </x:c>
    </x:row>
    <x:row r="45" ht="60" customHeight="1">
      <x:c r="A45" s="43" t="str">
        <x:v>AERA-DA-008</x:v>
      </x:c>
      <x:c r="B45" s="44" t="str">
        <x:v>DA</x:v>
      </x:c>
      <x:c r="C45" s="44" t="str">
        <x:v>Operational intent SHALL be attributable, versioned, integrity-protected, and machine-testable, and shall state objectives, priorities, constraints, measures of success, prohibited outcomes, and review or expiry conditions.</x:v>
      </x:c>
      <x:c r="D45" s="44" t="str">
        <x:v>Signed intent object; conformance tests; change history.</x:v>
      </x:c>
      <x:c r="E45" s="44" t="str">
        <x:v>PROPOSED</x:v>
      </x:c>
      <x:c r="F45" s="44" t="str">
        <x:v>1.1 RC1 or earlier - lineage pending</x:v>
      </x:c>
      <x:c r="G45" s="44" t="str"/>
      <x:c r="H45" s="44" t="str"/>
      <x:c r="I45" s="44" t="str"/>
      <x:c r="J45" s="44" t="str"/>
      <x:c r="K45" s="44" t="str"/>
      <x:c r="L45" s="44" t="str"/>
      <x:c r="M45" s="44" t="str">
        <x:v>UNDETERMINED - claim-specific profile matrix required</x:v>
      </x:c>
      <x:c r="N45" s="44" t="str">
        <x:v>1.2 WD</x:v>
      </x:c>
      <x:c r="O45" s="44" t="str">
        <x:v>AERA-001-1.2WD-20260807.1</x:v>
      </x:c>
      <x:c r="P45" s="45" t="str">
        <x:v>Authoritative PDF Appendix A; generated from controlled source</x:v>
      </x:c>
    </x:row>
    <x:row r="46" ht="60" customHeight="1">
      <x:c r="A46" s="43" t="str">
        <x:v>AERA-DA-009</x:v>
      </x:c>
      <x:c r="B46" s="44" t="str">
        <x:v>DA</x:v>
      </x:c>
      <x:c r="C46" s="44" t="str">
        <x:v>Intent and policy conflict-resolution rules SHALL define precedence, tie-breaking authority, and fail-safe behavior; unresolved conflict SHALL NOT be converted to permission by implementation order.</x:v>
      </x:c>
      <x:c r="D46" s="44" t="str">
        <x:v>Conflict corpus; deterministic evaluation results; approved precedence specification.</x:v>
      </x:c>
      <x:c r="E46" s="44" t="str">
        <x:v>PROPOSED</x:v>
      </x:c>
      <x:c r="F46" s="44" t="str">
        <x:v>1.1 RC1 or earlier - lineage pending</x:v>
      </x:c>
      <x:c r="G46" s="44" t="str"/>
      <x:c r="H46" s="44" t="str"/>
      <x:c r="I46" s="44" t="str"/>
      <x:c r="J46" s="44" t="str"/>
      <x:c r="K46" s="44" t="str"/>
      <x:c r="L46" s="44" t="str"/>
      <x:c r="M46" s="44" t="str">
        <x:v>UNDETERMINED - claim-specific profile matrix required</x:v>
      </x:c>
      <x:c r="N46" s="44" t="str">
        <x:v>1.2 WD</x:v>
      </x:c>
      <x:c r="O46" s="44" t="str">
        <x:v>AERA-001-1.2WD-20260807.1</x:v>
      </x:c>
      <x:c r="P46" s="45" t="str">
        <x:v>Authoritative PDF Appendix A; generated from controlled source</x:v>
      </x:c>
    </x:row>
    <x:row r="47" ht="60" customHeight="1">
      <x:c r="A47" s="43" t="str">
        <x:v>AERA-DA-010</x:v>
      </x:c>
      <x:c r="B47" s="44" t="str">
        <x:v>DA</x:v>
      </x:c>
      <x:c r="C47" s="44" t="str">
        <x:v>Every assurance disposition SHALL record the exact policy bundle, policy version, material policy inputs, and evaluator version used; unapproved rollback to an earlier policy SHALL be rejected.</x:v>
      </x:c>
      <x:c r="D47" s="44" t="str">
        <x:v>Disposition records; signed policy inventory; rollback and downgrade tests.</x:v>
      </x:c>
      <x:c r="E47" s="44" t="str">
        <x:v>PROPOSED</x:v>
      </x:c>
      <x:c r="F47" s="44" t="str">
        <x:v>1.1 RC1 or earlier - lineage pending</x:v>
      </x:c>
      <x:c r="G47" s="44" t="str"/>
      <x:c r="H47" s="44" t="str"/>
      <x:c r="I47" s="44" t="str"/>
      <x:c r="J47" s="44" t="str"/>
      <x:c r="K47" s="44" t="str"/>
      <x:c r="L47" s="44" t="str"/>
      <x:c r="M47" s="44" t="str">
        <x:v>UNDETERMINED - claim-specific profile matrix required</x:v>
      </x:c>
      <x:c r="N47" s="44" t="str">
        <x:v>1.2 WD</x:v>
      </x:c>
      <x:c r="O47" s="44" t="str">
        <x:v>AERA-001-1.2WD-20260807.1</x:v>
      </x:c>
      <x:c r="P47" s="45" t="str">
        <x:v>Authoritative PDF Appendix A; generated from controlled source</x:v>
      </x:c>
    </x:row>
    <x:row r="48" ht="60" customHeight="1">
      <x:c r="A48" s="43" t="str">
        <x:v>AERA-DA-011</x:v>
      </x:c>
      <x:c r="B48" s="44" t="str">
        <x:v>DA</x:v>
      </x:c>
      <x:c r="C48" s="44" t="str">
        <x:v>Consequence classification SHALL account for severity, scope, reversibility, time to harm, propagation, cumulative effects, legal or safety significance, and recovery time; the proposer SHALL NOT be the sole approver of a downgrade.</x:v>
      </x:c>
      <x:c r="D48" s="44" t="str">
        <x:v>Classification rubric; inter-rater tests; downgrade approvals; boundary cases.</x:v>
      </x:c>
      <x:c r="E48" s="44" t="str">
        <x:v>PROPOSED</x:v>
      </x:c>
      <x:c r="F48" s="44" t="str">
        <x:v>1.1 RC1 or earlier - lineage pending</x:v>
      </x:c>
      <x:c r="G48" s="44" t="str"/>
      <x:c r="H48" s="44" t="str"/>
      <x:c r="I48" s="44" t="str"/>
      <x:c r="J48" s="44" t="str"/>
      <x:c r="K48" s="44" t="str"/>
      <x:c r="L48" s="44" t="str"/>
      <x:c r="M48" s="44" t="str">
        <x:v>UNDETERMINED - claim-specific profile matrix required</x:v>
      </x:c>
      <x:c r="N48" s="44" t="str">
        <x:v>1.2 WD</x:v>
      </x:c>
      <x:c r="O48" s="44" t="str">
        <x:v>AERA-001-1.2WD-20260807.1</x:v>
      </x:c>
      <x:c r="P48" s="45" t="str">
        <x:v>Authoritative PDF Appendix A; generated from controlled source</x:v>
      </x:c>
    </x:row>
    <x:row r="49" ht="60" customHeight="1">
      <x:c r="A49" s="43" t="str">
        <x:v>AERA-DA-012</x:v>
      </x:c>
      <x:c r="B49" s="44" t="str">
        <x:v>DA</x:v>
      </x:c>
      <x:c r="C49" s="44" t="str">
        <x:v>The proposal evaluated by the Decision Assurance Fabric SHALL be canonically represented and cryptographically bound to actor, target, parameters, tool, sequence, evidence manifest, context, and expiration; any material mutation SHALL require reauthorization.</x:v>
      </x:c>
      <x:c r="D49" s="44" t="str">
        <x:v>Canonicalization specification; digest comparison; mutation and replay tests.</x:v>
      </x:c>
      <x:c r="E49" s="44" t="str">
        <x:v>PROPOSED</x:v>
      </x:c>
      <x:c r="F49" s="44" t="str">
        <x:v>1.1 RC1 or earlier - lineage pending</x:v>
      </x:c>
      <x:c r="G49" s="44" t="str"/>
      <x:c r="H49" s="44" t="str"/>
      <x:c r="I49" s="44" t="str"/>
      <x:c r="J49" s="44" t="str"/>
      <x:c r="K49" s="44" t="str"/>
      <x:c r="L49" s="44" t="str"/>
      <x:c r="M49" s="44" t="str">
        <x:v>UNDETERMINED - claim-specific profile matrix required</x:v>
      </x:c>
      <x:c r="N49" s="44" t="str">
        <x:v>1.2 WD</x:v>
      </x:c>
      <x:c r="O49" s="44" t="str">
        <x:v>AERA-001-1.2WD-20260807.1</x:v>
      </x:c>
      <x:c r="P49" s="45" t="str">
        <x:v>Authoritative PDF Appendix A; generated from controlled source</x:v>
      </x:c>
    </x:row>
    <x:row r="50" ht="60" customHeight="1">
      <x:c r="A50" s="43" t="str">
        <x:v>AERA-DA-013</x:v>
      </x:c>
      <x:c r="B50" s="44" t="str">
        <x:v>DA</x:v>
      </x:c>
      <x:c r="C50" s="44" t="str">
        <x:v>Decision evidence SHALL carry source identity, acquisition method, acquisition time, transformation lineage, integrity state, uncertainty, freshness, applicable domain, and retention reference.</x:v>
      </x:c>
      <x:c r="D50" s="44" t="str">
        <x:v>Evidence manifest; schema validation; lineage reconstruction.</x:v>
      </x:c>
      <x:c r="E50" s="44" t="str">
        <x:v>PROPOSED</x:v>
      </x:c>
      <x:c r="F50" s="44" t="str">
        <x:v>1.1 RC1 or earlier - lineage pending</x:v>
      </x:c>
      <x:c r="G50" s="44" t="str"/>
      <x:c r="H50" s="44" t="str"/>
      <x:c r="I50" s="44" t="str"/>
      <x:c r="J50" s="44" t="str"/>
      <x:c r="K50" s="44" t="str"/>
      <x:c r="L50" s="44" t="str"/>
      <x:c r="M50" s="44" t="str">
        <x:v>UNDETERMINED - claim-specific profile matrix required</x:v>
      </x:c>
      <x:c r="N50" s="44" t="str">
        <x:v>1.2 WD</x:v>
      </x:c>
      <x:c r="O50" s="44" t="str">
        <x:v>AERA-001-1.2WD-20260807.1</x:v>
      </x:c>
      <x:c r="P50" s="45" t="str">
        <x:v>Authoritative PDF Appendix A; generated from controlled source</x:v>
      </x:c>
    </x:row>
    <x:row r="51" ht="60" customHeight="1">
      <x:c r="A51" s="43" t="str">
        <x:v>AERA-DA-014</x:v>
      </x:c>
      <x:c r="B51" s="44" t="str">
        <x:v>DA</x:v>
      </x:c>
      <x:c r="C51" s="44" t="str">
        <x:v>When independent evidence is required, the implementation SHALL evaluate common sensor, data, model, provider, clock, network, power, and control-plane dependencies; correlated sources SHALL NOT be counted as independent without justification.</x:v>
      </x:c>
      <x:c r="D51" s="44" t="str">
        <x:v>Failure-domain model; dependency graph; common-mode fault-injection results.</x:v>
      </x:c>
      <x:c r="E51" s="44" t="str">
        <x:v>PROPOSED</x:v>
      </x:c>
      <x:c r="F51" s="44" t="str">
        <x:v>1.1 RC1 or earlier - lineage pending</x:v>
      </x:c>
      <x:c r="G51" s="44" t="str"/>
      <x:c r="H51" s="44" t="str"/>
      <x:c r="I51" s="44" t="str"/>
      <x:c r="J51" s="44" t="str"/>
      <x:c r="K51" s="44" t="str"/>
      <x:c r="L51" s="44" t="str"/>
      <x:c r="M51" s="44" t="str">
        <x:v>UNDETERMINED - claim-specific profile matrix required</x:v>
      </x:c>
      <x:c r="N51" s="44" t="str">
        <x:v>1.2 WD</x:v>
      </x:c>
      <x:c r="O51" s="44" t="str">
        <x:v>AERA-001-1.2WD-20260807.1</x:v>
      </x:c>
      <x:c r="P51" s="45" t="str">
        <x:v>Authoritative PDF Appendix A; generated from controlled source</x:v>
      </x:c>
    </x:row>
    <x:row r="52" ht="60" customHeight="1">
      <x:c r="A52" s="43" t="str">
        <x:v>AERA-DA-015</x:v>
      </x:c>
      <x:c r="B52" s="44" t="str">
        <x:v>DA</x:v>
      </x:c>
      <x:c r="C52" s="44" t="str">
        <x:v>Evidence source identity and integrity SHALL be verified before evidence contributes to authorization; unverifiable evidence SHALL be excluded or explicitly treated as untrusted by policy.</x:v>
      </x:c>
      <x:c r="D52" s="44" t="str">
        <x:v>Source-authentication records; forged-source tests; exclusion behavior.</x:v>
      </x:c>
      <x:c r="E52" s="44" t="str">
        <x:v>PROPOSED</x:v>
      </x:c>
      <x:c r="F52" s="44" t="str">
        <x:v>1.1 RC1 or earlier - lineage pending</x:v>
      </x:c>
      <x:c r="G52" s="44" t="str"/>
      <x:c r="H52" s="44" t="str"/>
      <x:c r="I52" s="44" t="str"/>
      <x:c r="J52" s="44" t="str"/>
      <x:c r="K52" s="44" t="str"/>
      <x:c r="L52" s="44" t="str"/>
      <x:c r="M52" s="44" t="str">
        <x:v>UNDETERMINED - claim-specific profile matrix required</x:v>
      </x:c>
      <x:c r="N52" s="44" t="str">
        <x:v>1.2 WD</x:v>
      </x:c>
      <x:c r="O52" s="44" t="str">
        <x:v>AERA-001-1.2WD-20260807.1</x:v>
      </x:c>
      <x:c r="P52" s="45" t="str">
        <x:v>Authoritative PDF Appendix A; generated from controlled source</x:v>
      </x:c>
    </x:row>
    <x:row r="53" ht="60" customHeight="1">
      <x:c r="A53" s="43" t="str">
        <x:v>AERA-DA-016</x:v>
      </x:c>
      <x:c r="B53" s="44" t="str">
        <x:v>DA</x:v>
      </x:c>
      <x:c r="C53" s="44" t="str">
        <x:v>Decision policy SHALL define how contradictory, missing, ambiguous, and out-of-distribution evidence changes the disposition; a scalar confidence value SHALL NOT conceal a failed mandatory evidence condition.</x:v>
      </x:c>
      <x:c r="D53" s="44" t="str">
        <x:v>Contradiction test set; policy traces; mandatory-condition tests.</x:v>
      </x:c>
      <x:c r="E53" s="44" t="str">
        <x:v>PROPOSED</x:v>
      </x:c>
      <x:c r="F53" s="44" t="str">
        <x:v>1.1 RC1 or earlier - lineage pending</x:v>
      </x:c>
      <x:c r="G53" s="44" t="str"/>
      <x:c r="H53" s="44" t="str"/>
      <x:c r="I53" s="44" t="str"/>
      <x:c r="J53" s="44" t="str"/>
      <x:c r="K53" s="44" t="str"/>
      <x:c r="L53" s="44" t="str"/>
      <x:c r="M53" s="44" t="str">
        <x:v>UNDETERMINED - claim-specific profile matrix required</x:v>
      </x:c>
      <x:c r="N53" s="44" t="str">
        <x:v>1.2 WD</x:v>
      </x:c>
      <x:c r="O53" s="44" t="str">
        <x:v>AERA-001-1.2WD-20260807.1</x:v>
      </x:c>
      <x:c r="P53" s="45" t="str">
        <x:v>Authoritative PDF Appendix A; generated from controlled source</x:v>
      </x:c>
    </x:row>
    <x:row r="54" ht="60" customHeight="1">
      <x:c r="A54" s="43" t="str">
        <x:v>AERA-DA-017</x:v>
      </x:c>
      <x:c r="B54" s="44" t="str">
        <x:v>DA</x:v>
      </x:c>
      <x:c r="C54" s="44" t="str">
        <x:v>Each evidence type SHALL have a decision-class-specific freshness and latency tolerance; evidence outside tolerance SHALL cause defer, escalation, constraint, simulation, or denial as specified by policy.</x:v>
      </x:c>
      <x:c r="D54" s="44" t="str">
        <x:v>Freshness thresholds; delayed-evidence tests; expiry records.</x:v>
      </x:c>
      <x:c r="E54" s="44" t="str">
        <x:v>PROPOSED</x:v>
      </x:c>
      <x:c r="F54" s="44" t="str">
        <x:v>1.1 RC1 or earlier - lineage pending</x:v>
      </x:c>
      <x:c r="G54" s="44" t="str"/>
      <x:c r="H54" s="44" t="str"/>
      <x:c r="I54" s="44" t="str"/>
      <x:c r="J54" s="44" t="str"/>
      <x:c r="K54" s="44" t="str"/>
      <x:c r="L54" s="44" t="str"/>
      <x:c r="M54" s="44" t="str">
        <x:v>UNDETERMINED - claim-specific profile matrix required</x:v>
      </x:c>
      <x:c r="N54" s="44" t="str">
        <x:v>1.2 WD</x:v>
      </x:c>
      <x:c r="O54" s="44" t="str">
        <x:v>AERA-001-1.2WD-20260807.1</x:v>
      </x:c>
      <x:c r="P54" s="45" t="str">
        <x:v>Authoritative PDF Appendix A; generated from controlled source</x:v>
      </x:c>
    </x:row>
    <x:row r="55" ht="60" customHeight="1">
      <x:c r="A55" s="43" t="str">
        <x:v>AERA-DA-018</x:v>
      </x:c>
      <x:c r="B55" s="44" t="str">
        <x:v>DA</x:v>
      </x:c>
      <x:c r="C55" s="44" t="str">
        <x:v>Assurance state SHALL preserve separately evaluated claims for authority validity, intent alignment, evidence adequacy, actor competence, cyber integrity, temporal coherence, safety margin, and recoverability; a universal scalar score SHALL NOT override a failed mandatory claim.</x:v>
      </x:c>
      <x:c r="D55" s="44" t="str">
        <x:v>Assurance-vector schema; policy decision table; dimension-failure tests.</x:v>
      </x:c>
      <x:c r="E55" s="44" t="str">
        <x:v>PROPOSED</x:v>
      </x:c>
      <x:c r="F55" s="44" t="str">
        <x:v>1.1 RC1 or earlier - lineage pending</x:v>
      </x:c>
      <x:c r="G55" s="44" t="str"/>
      <x:c r="H55" s="44" t="str"/>
      <x:c r="I55" s="44" t="str"/>
      <x:c r="J55" s="44" t="str"/>
      <x:c r="K55" s="44" t="str"/>
      <x:c r="L55" s="44" t="str"/>
      <x:c r="M55" s="44" t="str">
        <x:v>UNDETERMINED - claim-specific profile matrix required</x:v>
      </x:c>
      <x:c r="N55" s="44" t="str">
        <x:v>1.2 WD</x:v>
      </x:c>
      <x:c r="O55" s="44" t="str">
        <x:v>AERA-001-1.2WD-20260807.1</x:v>
      </x:c>
      <x:c r="P55" s="45" t="str">
        <x:v>Authoritative PDF Appendix A; generated from controlled source</x:v>
      </x:c>
    </x:row>
    <x:row r="56" ht="60" customHeight="1">
      <x:c r="A56" s="43" t="str">
        <x:v>AERA-DA-019</x:v>
      </x:c>
      <x:c r="B56" s="44" t="str">
        <x:v>DA</x:v>
      </x:c>
      <x:c r="C56" s="44" t="str">
        <x:v>Confidence claims SHALL identify the calibration method, calibration population or operating domain, version, date, error measure, and known limits, and SHALL be monitored for calibration drift in deployment.</x:v>
      </x:c>
      <x:c r="D56" s="44" t="str">
        <x:v>Calibration report; reliability analysis; production drift alerts and response records.</x:v>
      </x:c>
      <x:c r="E56" s="44" t="str">
        <x:v>PROPOSED</x:v>
      </x:c>
      <x:c r="F56" s="44" t="str">
        <x:v>1.1 RC1 or earlier - lineage pending</x:v>
      </x:c>
      <x:c r="G56" s="44" t="str"/>
      <x:c r="H56" s="44" t="str"/>
      <x:c r="I56" s="44" t="str"/>
      <x:c r="J56" s="44" t="str"/>
      <x:c r="K56" s="44" t="str"/>
      <x:c r="L56" s="44" t="str"/>
      <x:c r="M56" s="44" t="str">
        <x:v>UNDETERMINED - claim-specific profile matrix required</x:v>
      </x:c>
      <x:c r="N56" s="44" t="str">
        <x:v>1.2 WD</x:v>
      </x:c>
      <x:c r="O56" s="44" t="str">
        <x:v>AERA-001-1.2WD-20260807.1</x:v>
      </x:c>
      <x:c r="P56" s="45" t="str">
        <x:v>Authoritative PDF Appendix A; generated from controlled source</x:v>
      </x:c>
    </x:row>
    <x:row r="57" ht="60" customHeight="1">
      <x:c r="A57" s="43" t="str">
        <x:v>AERA-DA-020</x:v>
      </x:c>
      <x:c r="B57" s="44" t="str">
        <x:v>DA</x:v>
      </x:c>
      <x:c r="C57" s="44" t="str">
        <x:v>Every time or position claim used in authorization SHALL identify its source, reference frame or time scale as applicable, uncertainty, integrity state, age, and whether the source is merely present, monitored, accepted, or actually used in the computed decision.</x:v>
      </x:c>
      <x:c r="D57" s="44" t="str">
        <x:v>PNT evidence object; source-selection logs; use-path instrumentation.</x:v>
      </x:c>
      <x:c r="E57" s="44" t="str">
        <x:v>PROPOSED</x:v>
      </x:c>
      <x:c r="F57" s="44" t="str">
        <x:v>1.1 RC1 or earlier - lineage pending</x:v>
      </x:c>
      <x:c r="G57" s="44" t="str"/>
      <x:c r="H57" s="44" t="str"/>
      <x:c r="I57" s="44" t="str"/>
      <x:c r="J57" s="44" t="str"/>
      <x:c r="K57" s="44" t="str"/>
      <x:c r="L57" s="44" t="str"/>
      <x:c r="M57" s="44" t="str">
        <x:v>UNDETERMINED - claim-specific profile matrix required</x:v>
      </x:c>
      <x:c r="N57" s="44" t="str">
        <x:v>1.2 WD</x:v>
      </x:c>
      <x:c r="O57" s="44" t="str">
        <x:v>AERA-001-1.2WD-20260807.1</x:v>
      </x:c>
      <x:c r="P57" s="45" t="str">
        <x:v>Authoritative PDF Appendix A; generated from controlled source</x:v>
      </x:c>
    </x:row>
    <x:row r="58" ht="60" customHeight="1">
      <x:c r="A58" s="43" t="str">
        <x:v>AERA-DA-021</x:v>
      </x:c>
      <x:c r="B58" s="44" t="str">
        <x:v>DA</x:v>
      </x:c>
      <x:c r="C58" s="44" t="str">
        <x:v>Decision classes dependent on PNT SHALL define disagreement thresholds, anomaly detection, holdover or alternate-source behavior, maximum uncertainty, and safe degraded operation; source loss or conflict SHALL NOT silently preserve nominal authority.</x:v>
      </x:c>
      <x:c r="D58" s="44" t="str">
        <x:v>PNT fault-injection; jamming/spoofing or simulated anomaly tests; holdover characterization.</x:v>
      </x:c>
      <x:c r="E58" s="44" t="str">
        <x:v>PROPOSED</x:v>
      </x:c>
      <x:c r="F58" s="44" t="str">
        <x:v>1.1 RC1 or earlier - lineage pending</x:v>
      </x:c>
      <x:c r="G58" s="44" t="str"/>
      <x:c r="H58" s="44" t="str"/>
      <x:c r="I58" s="44" t="str"/>
      <x:c r="J58" s="44" t="str"/>
      <x:c r="K58" s="44" t="str"/>
      <x:c r="L58" s="44" t="str"/>
      <x:c r="M58" s="44" t="str">
        <x:v>UNDETERMINED - claim-specific profile matrix required</x:v>
      </x:c>
      <x:c r="N58" s="44" t="str">
        <x:v>1.2 WD</x:v>
      </x:c>
      <x:c r="O58" s="44" t="str">
        <x:v>AERA-001-1.2WD-20260807.1</x:v>
      </x:c>
      <x:c r="P58" s="45" t="str">
        <x:v>Authoritative PDF Appendix A; generated from controlled source</x:v>
      </x:c>
    </x:row>
    <x:row r="59" ht="60" customHeight="1">
      <x:c r="A59" s="43" t="str">
        <x:v>AERA-DA-022</x:v>
      </x:c>
      <x:c r="B59" s="44" t="str">
        <x:v>DA</x:v>
      </x:c>
      <x:c r="C59" s="44" t="str">
        <x:v>Every material autonomous effect SHALL pass through a policy enforcement mechanism controlled independently from the proposing actor; direct access to an effect interface SHALL be denied unless explicitly justified as a time-bounded emergency mode.</x:v>
      </x:c>
      <x:c r="D59" s="44" t="str">
        <x:v>Architecture and trust-boundary review; bypass tests; emergency-mode approvals and logs.</x:v>
      </x:c>
      <x:c r="E59" s="44" t="str">
        <x:v>PROPOSED</x:v>
      </x:c>
      <x:c r="F59" s="44" t="str">
        <x:v>1.1 RC1 or earlier - lineage pending</x:v>
      </x:c>
      <x:c r="G59" s="44" t="str"/>
      <x:c r="H59" s="44" t="str"/>
      <x:c r="I59" s="44" t="str"/>
      <x:c r="J59" s="44" t="str"/>
      <x:c r="K59" s="44" t="str"/>
      <x:c r="L59" s="44" t="str"/>
      <x:c r="M59" s="44" t="str">
        <x:v>UNDETERMINED - claim-specific profile matrix required</x:v>
      </x:c>
      <x:c r="N59" s="44" t="str">
        <x:v>1.2 WD</x:v>
      </x:c>
      <x:c r="O59" s="44" t="str">
        <x:v>AERA-001-1.2WD-20260807.1</x:v>
      </x:c>
      <x:c r="P59" s="45" t="str">
        <x:v>Authoritative PDF Appendix A; generated from controlled source</x:v>
      </x:c>
    </x:row>
    <x:row r="60" ht="60" customHeight="1">
      <x:c r="A60" s="43" t="str">
        <x:v>AERA-DA-023</x:v>
      </x:c>
      <x:c r="B60" s="44" t="str">
        <x:v>DA</x:v>
      </x:c>
      <x:c r="C60" s="44" t="str">
        <x:v>The Decision Assurance Fabric SHALL use the canonical authorization-disposition vocabulary and semantics specified by AERA-DAF-110 through AERA-DAF-114.</x:v>
      </x:c>
      <x:c r="D60" s="44" t="str">
        <x:v>I, T</x:v>
      </x:c>
      <x:c r="E60" s="44" t="str">
        <x:v>PROPOSED</x:v>
      </x:c>
      <x:c r="F60" s="44" t="str">
        <x:v>1.1 RC1 or earlier - lineage pending</x:v>
      </x:c>
      <x:c r="G60" s="44" t="str">
        <x:v>1.2 WD</x:v>
      </x:c>
      <x:c r="H60" s="44" t="str"/>
      <x:c r="I60" s="44" t="str">
        <x:v>AERA-DAF-110</x:v>
      </x:c>
      <x:c r="J60" s="44" t="str"/>
      <x:c r="K60" s="44" t="str"/>
      <x:c r="L60" s="44" t="str">
        <x:v>Replaced legacy disposition wording with a reference to the canonical AERA-DAF-110 through AERA-DAF-114 semantics.</x:v>
      </x:c>
      <x:c r="M60" s="44" t="str">
        <x:v>UNDETERMINED - claim-specific profile matrix required</x:v>
      </x:c>
      <x:c r="N60" s="44" t="str">
        <x:v>1.2 WD</x:v>
      </x:c>
      <x:c r="O60" s="44" t="str">
        <x:v>AERA-001-1.2WD-20260807.1</x:v>
      </x:c>
      <x:c r="P60" s="45" t="str">
        <x:v>Authoritative PDF Appendix A; generated from controlled source</x:v>
      </x:c>
    </x:row>
    <x:row r="61" ht="60" customHeight="1">
      <x:c r="A61" s="43" t="str">
        <x:v>AERA-DA-024</x:v>
      </x:c>
      <x:c r="B61" s="44" t="str">
        <x:v>DA</x:v>
      </x:c>
      <x:c r="C61" s="44" t="str">
        <x:v>An authorization SHALL be limited to the exact actor, action, target, tool, parameters, sequence or transaction, context, consequence bound, and validity interval evaluated; bearer authorization not bound to these elements SHALL NOT authorize a material effect.</x:v>
      </x:c>
      <x:c r="D61" s="44" t="str">
        <x:v>Token or capability schema; replay, audience, target, and parameter substitution tests.</x:v>
      </x:c>
      <x:c r="E61" s="44" t="str">
        <x:v>PROPOSED</x:v>
      </x:c>
      <x:c r="F61" s="44" t="str">
        <x:v>1.1 RC1 or earlier - lineage pending</x:v>
      </x:c>
      <x:c r="G61" s="44" t="str"/>
      <x:c r="H61" s="44" t="str"/>
      <x:c r="I61" s="44" t="str"/>
      <x:c r="J61" s="44" t="str"/>
      <x:c r="K61" s="44" t="str"/>
      <x:c r="L61" s="44" t="str"/>
      <x:c r="M61" s="44" t="str">
        <x:v>UNDETERMINED - claim-specific profile matrix required</x:v>
      </x:c>
      <x:c r="N61" s="44" t="str">
        <x:v>1.2 WD</x:v>
      </x:c>
      <x:c r="O61" s="44" t="str">
        <x:v>AERA-001-1.2WD-20260807.1</x:v>
      </x:c>
      <x:c r="P61" s="45" t="str">
        <x:v>Authoritative PDF Appendix A; generated from controlled source</x:v>
      </x:c>
    </x:row>
    <x:row r="62" ht="60" customHeight="1">
      <x:c r="A62" s="43" t="str">
        <x:v>AERA-DA-025</x:v>
      </x:c>
      <x:c r="B62" s="44" t="str">
        <x:v>DA</x:v>
      </x:c>
      <x:c r="C62" s="44" t="str">
        <x:v>Decision Assurance Fabric outage, timeout, overload, or partition SHALL invoke a pre-engineered decision-class degraded mode; unavailability SHALL NOT be interpreted as permission.</x:v>
      </x:c>
      <x:c r="D62" s="44" t="str">
        <x:v>Capacity and partition tests; fail-safe state evidence; continuity procedure.</x:v>
      </x:c>
      <x:c r="E62" s="44" t="str">
        <x:v>PROPOSED</x:v>
      </x:c>
      <x:c r="F62" s="44" t="str">
        <x:v>1.1 RC1 or earlier - lineage pending</x:v>
      </x:c>
      <x:c r="G62" s="44" t="str"/>
      <x:c r="H62" s="44" t="str"/>
      <x:c r="I62" s="44" t="str"/>
      <x:c r="J62" s="44" t="str"/>
      <x:c r="K62" s="44" t="str"/>
      <x:c r="L62" s="44" t="str"/>
      <x:c r="M62" s="44" t="str">
        <x:v>UNDETERMINED - claim-specific profile matrix required</x:v>
      </x:c>
      <x:c r="N62" s="44" t="str">
        <x:v>1.2 WD</x:v>
      </x:c>
      <x:c r="O62" s="44" t="str">
        <x:v>AERA-001-1.2WD-20260807.1</x:v>
      </x:c>
      <x:c r="P62" s="45" t="str">
        <x:v>Authoritative PDF Appendix A; generated from controlled source</x:v>
      </x:c>
    </x:row>
    <x:row r="63" ht="60" customHeight="1">
      <x:c r="A63" s="43" t="str">
        <x:v>AERA-DA-026</x:v>
      </x:c>
      <x:c r="B63" s="44" t="str">
        <x:v>DA</x:v>
      </x:c>
      <x:c r="C63" s="44" t="str">
        <x:v>Authorization SHALL be reevaluated when any policy-defined material context changes, including actor integrity, delegation, intent, evidence, PNT state, target state, threat state, or recovery readiness.</x:v>
      </x:c>
      <x:c r="D63" s="44" t="str">
        <x:v>Context-change matrix; invalidation latency; reauthorization traces.</x:v>
      </x:c>
      <x:c r="E63" s="44" t="str">
        <x:v>PROPOSED</x:v>
      </x:c>
      <x:c r="F63" s="44" t="str">
        <x:v>1.1 RC1 or earlier - lineage pending</x:v>
      </x:c>
      <x:c r="G63" s="44" t="str"/>
      <x:c r="H63" s="44" t="str"/>
      <x:c r="I63" s="44" t="str"/>
      <x:c r="J63" s="44" t="str"/>
      <x:c r="K63" s="44" t="str"/>
      <x:c r="L63" s="44" t="str"/>
      <x:c r="M63" s="44" t="str">
        <x:v>UNDETERMINED - claim-specific profile matrix required</x:v>
      </x:c>
      <x:c r="N63" s="44" t="str">
        <x:v>1.2 WD</x:v>
      </x:c>
      <x:c r="O63" s="44" t="str">
        <x:v>AERA-001-1.2WD-20260807.1</x:v>
      </x:c>
      <x:c r="P63" s="45" t="str">
        <x:v>Authoritative PDF Appendix A; generated from controlled source</x:v>
      </x:c>
    </x:row>
    <x:row r="64" ht="60" customHeight="1">
      <x:c r="A64" s="43" t="str">
        <x:v>AERA-DA-027</x:v>
      </x:c>
      <x:c r="B64" s="44" t="str">
        <x:v>DA</x:v>
      </x:c>
      <x:c r="C64" s="44" t="str">
        <x:v>The implementation SHALL evaluate cumulative and interacting effects across time, actors, tools, and targets and enforce rolling budgets or state constraints that prevent decomposition of a prohibited action into individually permitted actions.</x:v>
      </x:c>
      <x:c r="D64" s="44" t="str">
        <x:v>Stateful test scenarios; budget enforcement; multi-actor sequence analysis.</x:v>
      </x:c>
      <x:c r="E64" s="44" t="str">
        <x:v>PROPOSED</x:v>
      </x:c>
      <x:c r="F64" s="44" t="str">
        <x:v>1.1 RC1 or earlier - lineage pending</x:v>
      </x:c>
      <x:c r="G64" s="44" t="str"/>
      <x:c r="H64" s="44" t="str"/>
      <x:c r="I64" s="44" t="str"/>
      <x:c r="J64" s="44" t="str"/>
      <x:c r="K64" s="44" t="str"/>
      <x:c r="L64" s="44" t="str"/>
      <x:c r="M64" s="44" t="str">
        <x:v>UNDETERMINED - claim-specific profile matrix required</x:v>
      </x:c>
      <x:c r="N64" s="44" t="str">
        <x:v>1.2 WD</x:v>
      </x:c>
      <x:c r="O64" s="44" t="str">
        <x:v>AERA-001-1.2WD-20260807.1</x:v>
      </x:c>
      <x:c r="P64" s="45" t="str">
        <x:v>Authoritative PDF Appendix A; generated from controlled source</x:v>
      </x:c>
    </x:row>
    <x:row r="65" ht="60" customHeight="1">
      <x:c r="A65" s="43" t="str">
        <x:v>AERA-DA-028</x:v>
      </x:c>
      <x:c r="B65" s="44" t="str">
        <x:v>DA</x:v>
      </x:c>
      <x:c r="C65" s="44" t="str">
        <x:v>Tool credentials and capabilities SHALL be least-privileged, audience-restricted, target-restricted, action-restricted, time-bounded, and unavailable to the actor outside the authorized transaction.</x:v>
      </x:c>
      <x:c r="D65" s="44" t="str">
        <x:v>Entitlement review; credential issuance logs; negative tool-use tests.</x:v>
      </x:c>
      <x:c r="E65" s="44" t="str">
        <x:v>PROPOSED</x:v>
      </x:c>
      <x:c r="F65" s="44" t="str">
        <x:v>1.1 RC1 or earlier - lineage pending</x:v>
      </x:c>
      <x:c r="G65" s="44" t="str"/>
      <x:c r="H65" s="44" t="str"/>
      <x:c r="I65" s="44" t="str"/>
      <x:c r="J65" s="44" t="str"/>
      <x:c r="K65" s="44" t="str"/>
      <x:c r="L65" s="44" t="str"/>
      <x:c r="M65" s="44" t="str">
        <x:v>UNDETERMINED - claim-specific profile matrix required</x:v>
      </x:c>
      <x:c r="N65" s="44" t="str">
        <x:v>1.2 WD</x:v>
      </x:c>
      <x:c r="O65" s="44" t="str">
        <x:v>AERA-001-1.2WD-20260807.1</x:v>
      </x:c>
      <x:c r="P65" s="45" t="str">
        <x:v>Authoritative PDF Appendix A; generated from controlled source</x:v>
      </x:c>
    </x:row>
    <x:row r="66" ht="60" customHeight="1">
      <x:c r="A66" s="43" t="str">
        <x:v>AERA-DA-029</x:v>
      </x:c>
      <x:c r="B66" s="44" t="str">
        <x:v>DA</x:v>
      </x:c>
      <x:c r="C66" s="44" t="str">
        <x:v>A quorum, consensus, or independent-review rule SHALL define independence in terms of controller, model lineage, training data, evidence source, operator, provider, clock, and failure domain; numerical plurality alone SHALL NOT establish independence.</x:v>
      </x:c>
      <x:c r="D66" s="44" t="str">
        <x:v>Independence model; collusion tests; quorum policy and provenance.</x:v>
      </x:c>
      <x:c r="E66" s="44" t="str">
        <x:v>PROPOSED</x:v>
      </x:c>
      <x:c r="F66" s="44" t="str">
        <x:v>1.1 RC1 or earlier - lineage pending</x:v>
      </x:c>
      <x:c r="G66" s="44" t="str"/>
      <x:c r="H66" s="44" t="str"/>
      <x:c r="I66" s="44" t="str"/>
      <x:c r="J66" s="44" t="str"/>
      <x:c r="K66" s="44" t="str"/>
      <x:c r="L66" s="44" t="str"/>
      <x:c r="M66" s="44" t="str">
        <x:v>UNDETERMINED - claim-specific profile matrix required</x:v>
      </x:c>
      <x:c r="N66" s="44" t="str">
        <x:v>1.2 WD</x:v>
      </x:c>
      <x:c r="O66" s="44" t="str">
        <x:v>AERA-001-1.2WD-20260807.1</x:v>
      </x:c>
      <x:c r="P66" s="45" t="str">
        <x:v>Authoritative PDF Appendix A; generated from controlled source</x:v>
      </x:c>
    </x:row>
    <x:row r="67" ht="60" customHeight="1">
      <x:c r="A67" s="43" t="str">
        <x:v>AERA-DA-030</x:v>
      </x:c>
      <x:c r="B67" s="44" t="str">
        <x:v>DA</x:v>
      </x:c>
      <x:c r="C67" s="44" t="str">
        <x:v>Results from external AI, optimization, classical-compute, or quantum services SHALL be bound to the submitted request, provider and service version, execution context, time, uncertainty, and validation method; consequential use SHALL have a characterized fallback and independently controlled enforcement path.</x:v>
      </x:c>
      <x:c r="D67" s="44" t="str">
        <x:v>Service contract; request/result binding; plausibility tests; fallback and provider-failure exercise.</x:v>
      </x:c>
      <x:c r="E67" s="44" t="str">
        <x:v>PROPOSED</x:v>
      </x:c>
      <x:c r="F67" s="44" t="str">
        <x:v>1.1 RC1 or earlier - lineage pending</x:v>
      </x:c>
      <x:c r="G67" s="44" t="str"/>
      <x:c r="H67" s="44" t="str"/>
      <x:c r="I67" s="44" t="str"/>
      <x:c r="J67" s="44" t="str"/>
      <x:c r="K67" s="44" t="str"/>
      <x:c r="L67" s="44" t="str"/>
      <x:c r="M67" s="44" t="str">
        <x:v>UNDETERMINED - claim-specific profile matrix required</x:v>
      </x:c>
      <x:c r="N67" s="44" t="str">
        <x:v>1.2 WD</x:v>
      </x:c>
      <x:c r="O67" s="44" t="str">
        <x:v>AERA-001-1.2WD-20260807.1</x:v>
      </x:c>
      <x:c r="P67" s="45" t="str">
        <x:v>Authoritative PDF Appendix A; generated from controlled source</x:v>
      </x:c>
    </x:row>
    <x:row r="68" ht="60" customHeight="1">
      <x:c r="A68" s="43" t="str">
        <x:v>AERA-DA-031</x:v>
      </x:c>
      <x:c r="B68" s="44" t="str">
        <x:v>DA</x:v>
      </x:c>
      <x:c r="C68" s="44" t="str">
        <x:v>The implementation SHALL retain a tamper-evident causal record linking intent, delegation, actor and tool identity, proposal, evidence, assurance state, policy, disposition, enforcement, observed effect, override, and recovery action.</x:v>
      </x:c>
      <x:c r="D68" s="44" t="str">
        <x:v>End-to-end reconstruction exercise; log-integrity verification; completeness sampling.</x:v>
      </x:c>
      <x:c r="E68" s="44" t="str">
        <x:v>PROPOSED</x:v>
      </x:c>
      <x:c r="F68" s="44" t="str">
        <x:v>1.1 RC1 or earlier - lineage pending</x:v>
      </x:c>
      <x:c r="G68" s="44" t="str"/>
      <x:c r="H68" s="44" t="str"/>
      <x:c r="I68" s="44" t="str"/>
      <x:c r="J68" s="44" t="str"/>
      <x:c r="K68" s="44" t="str"/>
      <x:c r="L68" s="44" t="str"/>
      <x:c r="M68" s="44" t="str">
        <x:v>UNDETERMINED - claim-specific profile matrix required</x:v>
      </x:c>
      <x:c r="N68" s="44" t="str">
        <x:v>1.2 WD</x:v>
      </x:c>
      <x:c r="O68" s="44" t="str">
        <x:v>AERA-001-1.2WD-20260807.1</x:v>
      </x:c>
      <x:c r="P68" s="45" t="str">
        <x:v>Authoritative PDF Appendix A; generated from controlled source</x:v>
      </x:c>
    </x:row>
    <x:row r="69" ht="60" customHeight="1">
      <x:c r="A69" s="43" t="str">
        <x:v>AERA-DA-032</x:v>
      </x:c>
      <x:c r="B69" s="44" t="str">
        <x:v>DA</x:v>
      </x:c>
      <x:c r="C69" s="44" t="str">
        <x:v>Each decision class SHALL define a recovery envelope with detection triggers, containment and disengagement authority, safe states, rollback or compensation actions, required resources, and maximum recovery time; the recovery path SHALL be periodically tested independently of the actor.</x:v>
      </x:c>
      <x:c r="D69" s="44" t="str">
        <x:v>Recovery plan; exercise results; override-path independence evidence.</x:v>
      </x:c>
      <x:c r="E69" s="44" t="str">
        <x:v>PROPOSED</x:v>
      </x:c>
      <x:c r="F69" s="44" t="str">
        <x:v>1.1 RC1 or earlier - lineage pending</x:v>
      </x:c>
      <x:c r="G69" s="44" t="str"/>
      <x:c r="H69" s="44" t="str"/>
      <x:c r="I69" s="44" t="str"/>
      <x:c r="J69" s="44" t="str"/>
      <x:c r="K69" s="44" t="str"/>
      <x:c r="L69" s="44" t="str"/>
      <x:c r="M69" s="44" t="str">
        <x:v>UNDETERMINED - claim-specific profile matrix required</x:v>
      </x:c>
      <x:c r="N69" s="44" t="str">
        <x:v>1.2 WD</x:v>
      </x:c>
      <x:c r="O69" s="44" t="str">
        <x:v>AERA-001-1.2WD-20260807.1</x:v>
      </x:c>
      <x:c r="P69" s="45" t="str">
        <x:v>Authoritative PDF Appendix A; generated from controlled source</x:v>
      </x:c>
    </x:row>
    <x:row r="70" ht="60" customHeight="1">
      <x:c r="A70" s="43" t="str">
        <x:v>AERA-DA-033</x:v>
      </x:c>
      <x:c r="B70" s="44" t="str">
        <x:v>DA</x:v>
      </x:c>
      <x:c r="C70" s="44" t="str">
        <x:v>Runtime monitoring SHALL detect changes in actor integrity, authority, policy, evidence quality, calibration, PNT state, action sequence, target state, and recovery readiness and SHALL trigger the prescribed reauthorization or recovery action.</x:v>
      </x:c>
      <x:c r="D70" s="44" t="str">
        <x:v>Monitoring coverage matrix; alert-to-action tests; operational metrics.</x:v>
      </x:c>
      <x:c r="E70" s="44" t="str">
        <x:v>PROPOSED</x:v>
      </x:c>
      <x:c r="F70" s="44" t="str">
        <x:v>1.1 RC1 or earlier - lineage pending</x:v>
      </x:c>
      <x:c r="G70" s="44" t="str"/>
      <x:c r="H70" s="44" t="str"/>
      <x:c r="I70" s="44" t="str"/>
      <x:c r="J70" s="44" t="str"/>
      <x:c r="K70" s="44" t="str"/>
      <x:c r="L70" s="44" t="str"/>
      <x:c r="M70" s="44" t="str">
        <x:v>UNDETERMINED - claim-specific profile matrix required</x:v>
      </x:c>
      <x:c r="N70" s="44" t="str">
        <x:v>1.2 WD</x:v>
      </x:c>
      <x:c r="O70" s="44" t="str">
        <x:v>AERA-001-1.2WD-20260807.1</x:v>
      </x:c>
      <x:c r="P70" s="45" t="str">
        <x:v>Authoritative PDF Appendix A; generated from controlled source</x:v>
      </x:c>
    </x:row>
    <x:row r="71" ht="60" customHeight="1">
      <x:c r="A71" s="43" t="str">
        <x:v>AERA-DA-034</x:v>
      </x:c>
      <x:c r="B71" s="44" t="str">
        <x:v>DA</x:v>
      </x:c>
      <x:c r="C71" s="44" t="str">
        <x:v>Any update that can change autonomous behavior - including model, prompt, policy, memory, data, tool, dependency, or threshold changes - SHALL be versioned, provenance-bound, tested, approved at the applicable consequence level, observable after release, and reversible.</x:v>
      </x:c>
      <x:c r="D71" s="44" t="str">
        <x:v>Configuration baseline; test and approval record; staged-release and rollback evidence.</x:v>
      </x:c>
      <x:c r="E71" s="44" t="str">
        <x:v>PROPOSED</x:v>
      </x:c>
      <x:c r="F71" s="44" t="str">
        <x:v>1.1 RC1 or earlier - lineage pending</x:v>
      </x:c>
      <x:c r="G71" s="44" t="str"/>
      <x:c r="H71" s="44" t="str"/>
      <x:c r="I71" s="44" t="str"/>
      <x:c r="J71" s="44" t="str"/>
      <x:c r="K71" s="44" t="str"/>
      <x:c r="L71" s="44" t="str"/>
      <x:c r="M71" s="44" t="str">
        <x:v>UNDETERMINED - claim-specific profile matrix required</x:v>
      </x:c>
      <x:c r="N71" s="44" t="str">
        <x:v>1.2 WD</x:v>
      </x:c>
      <x:c r="O71" s="44" t="str">
        <x:v>AERA-001-1.2WD-20260807.1</x:v>
      </x:c>
      <x:c r="P71" s="45" t="str">
        <x:v>Authoritative PDF Appendix A; generated from controlled source</x:v>
      </x:c>
    </x:row>
    <x:row r="72" ht="60" customHeight="1">
      <x:c r="A72" s="43" t="str">
        <x:v>AERA-DA-035</x:v>
      </x:c>
      <x:c r="B72" s="44" t="str">
        <x:v>DA</x:v>
      </x:c>
      <x:c r="C72" s="44" t="str">
        <x:v>Verification and validation SHALL exercise every applicable threat in DAT-01 through DAT-25 under nominal, boundary, adversarial, degraded, partitioned, common-mode, and recovery conditions proportional to consequence; untested threats SHALL remain open assurance claims.</x:v>
      </x:c>
      <x:c r="D72" s="44" t="str">
        <x:v>I, A, T, D</x:v>
      </x:c>
      <x:c r="E72" s="44" t="str">
        <x:v>PROPOSED</x:v>
      </x:c>
      <x:c r="F72" s="44" t="str">
        <x:v>1.1 RC1 or earlier - lineage pending</x:v>
      </x:c>
      <x:c r="G72" s="44" t="str"/>
      <x:c r="H72" s="44" t="str"/>
      <x:c r="I72" s="44" t="str"/>
      <x:c r="J72" s="44" t="str"/>
      <x:c r="K72" s="44" t="str"/>
      <x:c r="L72" s="44" t="str"/>
      <x:c r="M72" s="44" t="str">
        <x:v>UNDETERMINED - claim-specific profile matrix required</x:v>
      </x:c>
      <x:c r="N72" s="44" t="str">
        <x:v>1.2 WD</x:v>
      </x:c>
      <x:c r="O72" s="44" t="str">
        <x:v>AERA-001-1.2WD-20260807.1</x:v>
      </x:c>
      <x:c r="P72" s="45" t="str">
        <x:v>Authoritative PDF Appendix A; generated from controlled source</x:v>
      </x:c>
    </x:row>
    <x:row r="73" ht="60" customHeight="1">
      <x:c r="A73" s="43" t="str">
        <x:v>AERA-DA-036</x:v>
      </x:c>
      <x:c r="B73" s="44" t="str">
        <x:v>DA</x:v>
      </x:c>
      <x:c r="C73" s="44" t="str">
        <x:v>The organization SHALL maintain an inventory of cryptographic uses supporting delegation, identity, evidence, authorization, audit, communications, and recovery; assess confidentiality and signature exposure periods; plan crypto-agile migration; select applicable standardized algorithms and parameters; track authoritative errata; and verify implementation, protocol, interoperability, performance, and validation status before claiming post-quantum protection.</x:v>
      </x:c>
      <x:c r="D73" s="44" t="str">
        <x:v>Cryptographic inventory; migration plan; algorithm and protocol test evidence; errata review; validation records.</x:v>
      </x:c>
      <x:c r="E73" s="44" t="str">
        <x:v>PROPOSED</x:v>
      </x:c>
      <x:c r="F73" s="44" t="str">
        <x:v>1.1 RC1 or earlier - lineage pending</x:v>
      </x:c>
      <x:c r="G73" s="44" t="str"/>
      <x:c r="H73" s="44" t="str"/>
      <x:c r="I73" s="44" t="str"/>
      <x:c r="J73" s="44" t="str"/>
      <x:c r="K73" s="44" t="str"/>
      <x:c r="L73" s="44" t="str"/>
      <x:c r="M73" s="44" t="str">
        <x:v>UNDETERMINED - claim-specific profile matrix required</x:v>
      </x:c>
      <x:c r="N73" s="44" t="str">
        <x:v>1.2 WD</x:v>
      </x:c>
      <x:c r="O73" s="44" t="str">
        <x:v>AERA-001-1.2WD-20260807.1</x:v>
      </x:c>
      <x:c r="P73" s="45" t="str">
        <x:v>Authoritative PDF Appendix A; generated from controlled source</x:v>
      </x:c>
    </x:row>
    <x:row r="74" ht="60" customHeight="1">
      <x:c r="A74" s="43" t="str">
        <x:v>AERA-DAF-001</x:v>
      </x:c>
      <x:c r="B74" s="44" t="str">
        <x:v>DAF</x:v>
      </x:c>
      <x:c r="C74" s="44" t="str">
        <x:v>Before material effect, the DAF SHALL evaluate exact proposal, actor/integrity, authority, intent, target/context, consequence, evidence/provenance, cyber state, time, dependencies, approvals, and recovery.</x:v>
      </x:c>
      <x:c r="D74" s="44" t="str">
        <x:v>I, T</x:v>
      </x:c>
      <x:c r="E74" s="44" t="str">
        <x:v>PROPOSED</x:v>
      </x:c>
      <x:c r="F74" s="44" t="str">
        <x:v>1.1 RC1 or earlier - lineage pending</x:v>
      </x:c>
      <x:c r="G74" s="44" t="str"/>
      <x:c r="H74" s="44" t="str"/>
      <x:c r="I74" s="44" t="str"/>
      <x:c r="J74" s="44" t="str"/>
      <x:c r="K74" s="44" t="str"/>
      <x:c r="L74" s="44" t="str"/>
      <x:c r="M74" s="44" t="str">
        <x:v>UNDETERMINED - claim-specific profile matrix required</x:v>
      </x:c>
      <x:c r="N74" s="44" t="str">
        <x:v>1.2 WD</x:v>
      </x:c>
      <x:c r="O74" s="44" t="str">
        <x:v>AERA-001-1.2WD-20260807.1</x:v>
      </x:c>
      <x:c r="P74" s="45" t="str">
        <x:v>Authoritative PDF Appendix A; generated from controlled source</x:v>
      </x:c>
    </x:row>
    <x:row r="75" ht="60" customHeight="1">
      <x:c r="A75" s="43" t="str">
        <x:v>AERA-DAF-002</x:v>
      </x:c>
      <x:c r="B75" s="44" t="str">
        <x:v>DAF</x:v>
      </x:c>
      <x:c r="C75" s="44" t="str">
        <x:v>A permit SHALL be integrity-bound to actor, action, target, parameters, context, evidence, authority, intent, policy, consequence, and validity, and invalidated by expiry or material bound-element change.</x:v>
      </x:c>
      <x:c r="D75" s="44" t="str">
        <x:v>I, T</x:v>
      </x:c>
      <x:c r="E75" s="44" t="str">
        <x:v>PROPOSED</x:v>
      </x:c>
      <x:c r="F75" s="44" t="str">
        <x:v>1.1 RC1 or earlier - lineage pending</x:v>
      </x:c>
      <x:c r="G75" s="44" t="str"/>
      <x:c r="H75" s="44" t="str"/>
      <x:c r="I75" s="44" t="str"/>
      <x:c r="J75" s="44" t="str"/>
      <x:c r="K75" s="44" t="str"/>
      <x:c r="L75" s="44" t="str"/>
      <x:c r="M75" s="44" t="str">
        <x:v>UNDETERMINED - claim-specific profile matrix required</x:v>
      </x:c>
      <x:c r="N75" s="44" t="str">
        <x:v>1.2 WD</x:v>
      </x:c>
      <x:c r="O75" s="44" t="str">
        <x:v>AERA-001-1.2WD-20260807.1</x:v>
      </x:c>
      <x:c r="P75" s="45" t="str">
        <x:v>Authoritative PDF Appendix A; generated from controlled source</x:v>
      </x:c>
    </x:row>
    <x:row r="76" ht="60" customHeight="1">
      <x:c r="A76" s="43" t="str">
        <x:v>AERA-DAF-003</x:v>
      </x:c>
      <x:c r="B76" s="44" t="str">
        <x:v>DAF</x:v>
      </x:c>
      <x:c r="C76" s="44" t="str">
        <x:v>A Decision Assurance Fabric implementation SHALL document and test a one-to-one mapping from any external disposition label to the canonical AERA dispositions defined by AERA-DAF-110.</x:v>
      </x:c>
      <x:c r="D76" s="44" t="str">
        <x:v>I, T</x:v>
      </x:c>
      <x:c r="E76" s="44" t="str">
        <x:v>PROPOSED</x:v>
      </x:c>
      <x:c r="F76" s="44" t="str">
        <x:v>1.1 RC1 or earlier - lineage pending</x:v>
      </x:c>
      <x:c r="G76" s="44" t="str">
        <x:v>1.2 WD</x:v>
      </x:c>
      <x:c r="H76" s="44" t="str"/>
      <x:c r="I76" s="44" t="str">
        <x:v>AERA-DAF-110</x:v>
      </x:c>
      <x:c r="J76" s="44" t="str"/>
      <x:c r="K76" s="44" t="str"/>
      <x:c r="L76" s="44" t="str">
        <x:v>Replaced the legacy constrain vocabulary with a tested one-to-one mapping obligation to AERA-DAF-110.</x:v>
      </x:c>
      <x:c r="M76" s="44" t="str">
        <x:v>UNDETERMINED - claim-specific profile matrix required</x:v>
      </x:c>
      <x:c r="N76" s="44" t="str">
        <x:v>1.2 WD</x:v>
      </x:c>
      <x:c r="O76" s="44" t="str">
        <x:v>AERA-001-1.2WD-20260807.1</x:v>
      </x:c>
      <x:c r="P76" s="45" t="str">
        <x:v>Authoritative PDF Appendix A; generated from controlled source</x:v>
      </x:c>
    </x:row>
    <x:row r="77" ht="60" customHeight="1">
      <x:c r="A77" s="43" t="str">
        <x:v>AERA-DAF-004</x:v>
      </x:c>
      <x:c r="B77" s="44" t="str">
        <x:v>DAF</x:v>
      </x:c>
      <x:c r="C77" s="44" t="str">
        <x:v>The proposer SHALL NOT be sole authority, evidence source, and enforcement for its material effect; consequence-appropriate separation SHALL be verified.</x:v>
      </x:c>
      <x:c r="D77" s="44" t="str">
        <x:v>A, T</x:v>
      </x:c>
      <x:c r="E77" s="44" t="str">
        <x:v>PROPOSED</x:v>
      </x:c>
      <x:c r="F77" s="44" t="str">
        <x:v>1.1 RC1 or earlier - lineage pending</x:v>
      </x:c>
      <x:c r="G77" s="44" t="str"/>
      <x:c r="H77" s="44" t="str"/>
      <x:c r="I77" s="44" t="str"/>
      <x:c r="J77" s="44" t="str"/>
      <x:c r="K77" s="44" t="str"/>
      <x:c r="L77" s="44" t="str"/>
      <x:c r="M77" s="44" t="str">
        <x:v>UNDETERMINED - claim-specific profile matrix required</x:v>
      </x:c>
      <x:c r="N77" s="44" t="str">
        <x:v>1.2 WD</x:v>
      </x:c>
      <x:c r="O77" s="44" t="str">
        <x:v>AERA-001-1.2WD-20260807.1</x:v>
      </x:c>
      <x:c r="P77" s="45" t="str">
        <x:v>Authoritative PDF Appendix A; generated from controlled source</x:v>
      </x:c>
    </x:row>
    <x:row r="78" ht="60" customHeight="1">
      <x:c r="A78" s="43" t="str">
        <x:v>AERA-DAF-005</x:v>
      </x:c>
      <x:c r="B78" s="44" t="str">
        <x:v>DAF</x:v>
      </x:c>
      <x:c r="C78" s="44" t="str">
        <x:v>Each class SHALL define/test DAF loss, partition, degradation, and staleness behavior; assurance loss SHALL NOT create implicit or over-valid authorization.</x:v>
      </x:c>
      <x:c r="D78" s="44" t="str">
        <x:v>A, T</x:v>
      </x:c>
      <x:c r="E78" s="44" t="str">
        <x:v>PROPOSED</x:v>
      </x:c>
      <x:c r="F78" s="44" t="str">
        <x:v>1.1 RC1 or earlier - lineage pending</x:v>
      </x:c>
      <x:c r="G78" s="44" t="str"/>
      <x:c r="H78" s="44" t="str"/>
      <x:c r="I78" s="44" t="str"/>
      <x:c r="J78" s="44" t="str"/>
      <x:c r="K78" s="44" t="str"/>
      <x:c r="L78" s="44" t="str"/>
      <x:c r="M78" s="44" t="str">
        <x:v>UNDETERMINED - claim-specific profile matrix required</x:v>
      </x:c>
      <x:c r="N78" s="44" t="str">
        <x:v>1.2 WD</x:v>
      </x:c>
      <x:c r="O78" s="44" t="str">
        <x:v>AERA-001-1.2WD-20260807.1</x:v>
      </x:c>
      <x:c r="P78" s="45" t="str">
        <x:v>Authoritative PDF Appendix A; generated from controlled source</x:v>
      </x:c>
    </x:row>
    <x:row r="79" ht="60" customHeight="1">
      <x:c r="A79" s="43" t="str">
        <x:v>AERA-DAF-101</x:v>
      </x:c>
      <x:c r="B79" s="44" t="str">
        <x:v>DAF</x:v>
      </x:c>
      <x:c r="C79" s="44" t="str">
        <x:v>The DAF SHALL establish a globally unique decision-transaction identifier for each proposed material effect before assurance evaluation begins.</x:v>
      </x:c>
      <x:c r="D79" s="44" t="str">
        <x:v>I, T</x:v>
      </x:c>
      <x:c r="E79" s="44" t="str">
        <x:v>PROPOSED</x:v>
      </x:c>
      <x:c r="F79" s="44" t="str">
        <x:v>1.1 RC1 or earlier - lineage pending</x:v>
      </x:c>
      <x:c r="G79" s="44" t="str"/>
      <x:c r="H79" s="44" t="str"/>
      <x:c r="I79" s="44" t="str"/>
      <x:c r="J79" s="44" t="str"/>
      <x:c r="K79" s="44" t="str"/>
      <x:c r="L79" s="44" t="str"/>
      <x:c r="M79" s="44" t="str">
        <x:v>UNDETERMINED - claim-specific profile matrix required</x:v>
      </x:c>
      <x:c r="N79" s="44" t="str">
        <x:v>1.2 WD</x:v>
      </x:c>
      <x:c r="O79" s="44" t="str">
        <x:v>AERA-001-1.2WD-20260807.1</x:v>
      </x:c>
      <x:c r="P79" s="45" t="str">
        <x:v>Authoritative PDF Appendix A; generated from controlled source</x:v>
      </x:c>
    </x:row>
    <x:row r="80" ht="60" customHeight="1">
      <x:c r="A80" s="43" t="str">
        <x:v>AERA-DAF-102</x:v>
      </x:c>
      <x:c r="B80" s="44" t="str">
        <x:v>DAF</x:v>
      </x:c>
      <x:c r="C80" s="44" t="str">
        <x:v>The DAF SHALL canonicalize the actor, action, parameters, target, purpose, context, and execution window before assurance evaluation.</x:v>
      </x:c>
      <x:c r="D80" s="44" t="str">
        <x:v>I, T</x:v>
      </x:c>
      <x:c r="E80" s="44" t="str">
        <x:v>PROPOSED</x:v>
      </x:c>
      <x:c r="F80" s="44" t="str">
        <x:v>1.1 RC1 or earlier - lineage pending</x:v>
      </x:c>
      <x:c r="G80" s="44" t="str"/>
      <x:c r="H80" s="44" t="str"/>
      <x:c r="I80" s="44" t="str"/>
      <x:c r="J80" s="44" t="str"/>
      <x:c r="K80" s="44" t="str"/>
      <x:c r="L80" s="44" t="str"/>
      <x:c r="M80" s="44" t="str">
        <x:v>UNDETERMINED - claim-specific profile matrix required</x:v>
      </x:c>
      <x:c r="N80" s="44" t="str">
        <x:v>1.2 WD</x:v>
      </x:c>
      <x:c r="O80" s="44" t="str">
        <x:v>AERA-001-1.2WD-20260807.1</x:v>
      </x:c>
      <x:c r="P80" s="45" t="str">
        <x:v>Authoritative PDF Appendix A; generated from controlled source</x:v>
      </x:c>
    </x:row>
    <x:row r="81" ht="60" customHeight="1">
      <x:c r="A81" s="43" t="str">
        <x:v>AERA-DAF-103</x:v>
      </x:c>
      <x:c r="B81" s="44" t="str">
        <x:v>DAF</x:v>
      </x:c>
      <x:c r="C81" s="44" t="str">
        <x:v>The DAF SHALL bind each evaluation and authorization artifact to the canonical proposal, effective authority chain, intent version, evidence snapshot, policy and evaluator versions, consequence class, and validity limits.</x:v>
      </x:c>
      <x:c r="D81" s="44" t="str">
        <x:v>I, T</x:v>
      </x:c>
      <x:c r="E81" s="44" t="str">
        <x:v>PROPOSED</x:v>
      </x:c>
      <x:c r="F81" s="44" t="str">
        <x:v>1.1 RC1 or earlier - lineage pending</x:v>
      </x:c>
      <x:c r="G81" s="44" t="str"/>
      <x:c r="H81" s="44" t="str"/>
      <x:c r="I81" s="44" t="str"/>
      <x:c r="J81" s="44" t="str"/>
      <x:c r="K81" s="44" t="str"/>
      <x:c r="L81" s="44" t="str"/>
      <x:c r="M81" s="44" t="str">
        <x:v>UNDETERMINED - claim-specific profile matrix required</x:v>
      </x:c>
      <x:c r="N81" s="44" t="str">
        <x:v>1.2 WD</x:v>
      </x:c>
      <x:c r="O81" s="44" t="str">
        <x:v>AERA-001-1.2WD-20260807.1</x:v>
      </x:c>
      <x:c r="P81" s="45" t="str">
        <x:v>Authoritative PDF Appendix A; generated from controlled source</x:v>
      </x:c>
    </x:row>
    <x:row r="82" ht="60" customHeight="1">
      <x:c r="A82" s="43" t="str">
        <x:v>AERA-DAF-104</x:v>
      </x:c>
      <x:c r="B82" s="44" t="str">
        <x:v>DAF</x:v>
      </x:c>
      <x:c r="C82" s="44" t="str">
        <x:v>Any material change to a bound transaction input SHALL invalidate the prior permit or cause re-evaluation and issuance of a new disposition before any further effect.</x:v>
      </x:c>
      <x:c r="D82" s="44" t="str">
        <x:v>A, T</x:v>
      </x:c>
      <x:c r="E82" s="44" t="str">
        <x:v>PROPOSED</x:v>
      </x:c>
      <x:c r="F82" s="44" t="str">
        <x:v>1.1 RC1 or earlier - lineage pending</x:v>
      </x:c>
      <x:c r="G82" s="44" t="str"/>
      <x:c r="H82" s="44" t="str"/>
      <x:c r="I82" s="44" t="str"/>
      <x:c r="J82" s="44" t="str"/>
      <x:c r="K82" s="44" t="str"/>
      <x:c r="L82" s="44" t="str"/>
      <x:c r="M82" s="44" t="str">
        <x:v>UNDETERMINED - claim-specific profile matrix required</x:v>
      </x:c>
      <x:c r="N82" s="44" t="str">
        <x:v>1.2 WD</x:v>
      </x:c>
      <x:c r="O82" s="44" t="str">
        <x:v>AERA-001-1.2WD-20260807.1</x:v>
      </x:c>
      <x:c r="P82" s="45" t="str">
        <x:v>Authoritative PDF Appendix A; generated from controlled source</x:v>
      </x:c>
    </x:row>
    <x:row r="83" ht="60" customHeight="1">
      <x:c r="A83" s="43" t="str">
        <x:v>AERA-DAF-105</x:v>
      </x:c>
      <x:c r="B83" s="44" t="str">
        <x:v>DAF</x:v>
      </x:c>
      <x:c r="C83" s="44" t="str">
        <x:v>The DAF SHALL represent each required assurance claim as an independently visible verdict and SHALL NOT conceal a NOT-SATISFIED or INDETERMINATE hard gate in an aggregate score.</x:v>
      </x:c>
      <x:c r="D83" s="44" t="str">
        <x:v>I, A, T</x:v>
      </x:c>
      <x:c r="E83" s="44" t="str">
        <x:v>PROPOSED</x:v>
      </x:c>
      <x:c r="F83" s="44" t="str">
        <x:v>1.1 RC1 or earlier - lineage pending</x:v>
      </x:c>
      <x:c r="G83" s="44" t="str"/>
      <x:c r="H83" s="44" t="str"/>
      <x:c r="I83" s="44" t="str"/>
      <x:c r="J83" s="44" t="str"/>
      <x:c r="K83" s="44" t="str"/>
      <x:c r="L83" s="44" t="str"/>
      <x:c r="M83" s="44" t="str">
        <x:v>UNDETERMINED - claim-specific profile matrix required</x:v>
      </x:c>
      <x:c r="N83" s="44" t="str">
        <x:v>1.2 WD</x:v>
      </x:c>
      <x:c r="O83" s="44" t="str">
        <x:v>AERA-001-1.2WD-20260807.1</x:v>
      </x:c>
      <x:c r="P83" s="45" t="str">
        <x:v>Authoritative PDF Appendix A; generated from controlled source</x:v>
      </x:c>
    </x:row>
    <x:row r="84" ht="60" customHeight="1">
      <x:c r="A84" s="43" t="str">
        <x:v>AERA-DAF-106</x:v>
      </x:c>
      <x:c r="B84" s="44" t="str">
        <x:v>DAF</x:v>
      </x:c>
      <x:c r="C84" s="44" t="str">
        <x:v>Each assurance-claim result SHALL identify the claim, verdict, acceptance criterion, supporting and contrary evidence, limitations, evaluator identity and version, assessment time, and validity interval.</x:v>
      </x:c>
      <x:c r="D84" s="44" t="str">
        <x:v>I, T</x:v>
      </x:c>
      <x:c r="E84" s="44" t="str">
        <x:v>PROPOSED</x:v>
      </x:c>
      <x:c r="F84" s="44" t="str">
        <x:v>1.1 RC1 or earlier - lineage pending</x:v>
      </x:c>
      <x:c r="G84" s="44" t="str"/>
      <x:c r="H84" s="44" t="str"/>
      <x:c r="I84" s="44" t="str"/>
      <x:c r="J84" s="44" t="str"/>
      <x:c r="K84" s="44" t="str"/>
      <x:c r="L84" s="44" t="str"/>
      <x:c r="M84" s="44" t="str">
        <x:v>UNDETERMINED - claim-specific profile matrix required</x:v>
      </x:c>
      <x:c r="N84" s="44" t="str">
        <x:v>1.2 WD</x:v>
      </x:c>
      <x:c r="O84" s="44" t="str">
        <x:v>AERA-001-1.2WD-20260807.1</x:v>
      </x:c>
      <x:c r="P84" s="45" t="str">
        <x:v>Authoritative PDF Appendix A; generated from controlled source</x:v>
      </x:c>
    </x:row>
    <x:row r="85" ht="60" customHeight="1">
      <x:c r="A85" s="43" t="str">
        <x:v>AERA-DAF-107</x:v>
      </x:c>
      <x:c r="B85" s="44" t="str">
        <x:v>DAF</x:v>
      </x:c>
      <x:c r="C85" s="44" t="str">
        <x:v>The DAF SHALL distinguish SATISFIED, NOT-SATISFIED, and INDETERMINATE verdicts and SHALL NOT interpret NOT-SATISFIED or INDETERMINATE as SATISFIED.</x:v>
      </x:c>
      <x:c r="D85" s="44" t="str">
        <x:v>I, T</x:v>
      </x:c>
      <x:c r="E85" s="44" t="str">
        <x:v>PROPOSED</x:v>
      </x:c>
      <x:c r="F85" s="44" t="str">
        <x:v>1.1 RC1 or earlier - lineage pending</x:v>
      </x:c>
      <x:c r="G85" s="44" t="str"/>
      <x:c r="H85" s="44" t="str"/>
      <x:c r="I85" s="44" t="str"/>
      <x:c r="J85" s="44" t="str"/>
      <x:c r="K85" s="44" t="str"/>
      <x:c r="L85" s="44" t="str"/>
      <x:c r="M85" s="44" t="str">
        <x:v>UNDETERMINED - claim-specific profile matrix required</x:v>
      </x:c>
      <x:c r="N85" s="44" t="str">
        <x:v>1.2 WD</x:v>
      </x:c>
      <x:c r="O85" s="44" t="str">
        <x:v>AERA-001-1.2WD-20260807.1</x:v>
      </x:c>
      <x:c r="P85" s="45" t="str">
        <x:v>Authoritative PDF Appendix A; generated from controlled source</x:v>
      </x:c>
    </x:row>
    <x:row r="86" ht="60" customHeight="1">
      <x:c r="A86" s="43" t="str">
        <x:v>AERA-DAF-108</x:v>
      </x:c>
      <x:c r="B86" s="44" t="str">
        <x:v>DAF</x:v>
      </x:c>
      <x:c r="C86" s="44" t="str">
        <x:v>For each decision type and consequence class, policy SHALL identify hard gates, compensable dimensions, prohibited trade-offs, approving authorities, and the conditions and validity limits for any permitted trade-off.</x:v>
      </x:c>
      <x:c r="D86" s="44" t="str">
        <x:v>I, A</x:v>
      </x:c>
      <x:c r="E86" s="44" t="str">
        <x:v>PROPOSED</x:v>
      </x:c>
      <x:c r="F86" s="44" t="str">
        <x:v>1.1 RC1 or earlier - lineage pending</x:v>
      </x:c>
      <x:c r="G86" s="44" t="str"/>
      <x:c r="H86" s="44" t="str"/>
      <x:c r="I86" s="44" t="str"/>
      <x:c r="J86" s="44" t="str"/>
      <x:c r="K86" s="44" t="str"/>
      <x:c r="L86" s="44" t="str"/>
      <x:c r="M86" s="44" t="str">
        <x:v>UNDETERMINED - claim-specific profile matrix required</x:v>
      </x:c>
      <x:c r="N86" s="44" t="str">
        <x:v>1.2 WD</x:v>
      </x:c>
      <x:c r="O86" s="44" t="str">
        <x:v>AERA-001-1.2WD-20260807.1</x:v>
      </x:c>
      <x:c r="P86" s="45" t="str">
        <x:v>Authoritative PDF Appendix A; generated from controlled source</x:v>
      </x:c>
    </x:row>
    <x:row r="87" ht="60" customHeight="1">
      <x:c r="A87" s="43" t="str">
        <x:v>AERA-DAF-109</x:v>
      </x:c>
      <x:c r="B87" s="44" t="str">
        <x:v>DAF</x:v>
      </x:c>
      <x:c r="C87" s="44" t="str">
        <x:v>Each permitted trade-off among assurance dimensions SHALL identify the accepted degradation or loss, compensating controls and their evidence, applicable decision types and consequence classes, accountable approving authority, validity, and reassessment triggers.</x:v>
      </x:c>
      <x:c r="D87" s="44" t="str">
        <x:v>I, A</x:v>
      </x:c>
      <x:c r="E87" s="44" t="str">
        <x:v>PROPOSED</x:v>
      </x:c>
      <x:c r="F87" s="44" t="str">
        <x:v>1.1 RC1 or earlier - lineage pending</x:v>
      </x:c>
      <x:c r="G87" s="44" t="str"/>
      <x:c r="H87" s="44" t="str"/>
      <x:c r="I87" s="44" t="str"/>
      <x:c r="J87" s="44" t="str"/>
      <x:c r="K87" s="44" t="str"/>
      <x:c r="L87" s="44" t="str"/>
      <x:c r="M87" s="44" t="str">
        <x:v>UNDETERMINED - claim-specific profile matrix required</x:v>
      </x:c>
      <x:c r="N87" s="44" t="str">
        <x:v>1.2 WD</x:v>
      </x:c>
      <x:c r="O87" s="44" t="str">
        <x:v>AERA-001-1.2WD-20260807.1</x:v>
      </x:c>
      <x:c r="P87" s="45" t="str">
        <x:v>Authoritative PDF Appendix A; generated from controlled source</x:v>
      </x:c>
    </x:row>
    <x:row r="88" ht="60" customHeight="1">
      <x:c r="A88" s="43" t="str">
        <x:v>AERA-DAF-110</x:v>
      </x:c>
      <x:c r="B88" s="44" t="str">
        <x:v>DAF</x:v>
      </x:c>
      <x:c r="C88" s="44" t="str">
        <x:v>The DAF SHALL support the dispositions PERMIT, PERMIT-WITH-CONSTRAINTS, DEFER, ESCALATE, SIMULATE, QUARANTINE, and DENY with the semantics defined in Section 24; an implementation MAY use different external labels only when it documents a one-to-one semantic mapping.</x:v>
      </x:c>
      <x:c r="D88" s="44" t="str">
        <x:v>I, T</x:v>
      </x:c>
      <x:c r="E88" s="44" t="str">
        <x:v>PROPOSED</x:v>
      </x:c>
      <x:c r="F88" s="44" t="str">
        <x:v>1.1 RC1 or earlier - lineage pending</x:v>
      </x:c>
      <x:c r="G88" s="44" t="str"/>
      <x:c r="H88" s="44" t="str"/>
      <x:c r="I88" s="44" t="str"/>
      <x:c r="J88" s="44" t="str"/>
      <x:c r="K88" s="44" t="str"/>
      <x:c r="L88" s="44" t="str"/>
      <x:c r="M88" s="44" t="str">
        <x:v>UNDETERMINED - claim-specific profile matrix required</x:v>
      </x:c>
      <x:c r="N88" s="44" t="str">
        <x:v>1.2 WD</x:v>
      </x:c>
      <x:c r="O88" s="44" t="str">
        <x:v>AERA-001-1.2WD-20260807.1</x:v>
      </x:c>
      <x:c r="P88" s="45" t="str">
        <x:v>Authoritative PDF Appendix A; generated from controlled source</x:v>
      </x:c>
    </x:row>
    <x:row r="89" ht="60" customHeight="1">
      <x:c r="A89" s="43" t="str">
        <x:v>AERA-DAF-111</x:v>
      </x:c>
      <x:c r="B89" s="44" t="str">
        <x:v>DAF</x:v>
      </x:c>
      <x:c r="C89" s="44" t="str">
        <x:v>A PERMIT-WITH-CONSTRAINTS disposition SHALL bind and enforce the narrowed proposal; it SHALL NOT authorize the original unconstrained proposal.</x:v>
      </x:c>
      <x:c r="D89" s="44" t="str">
        <x:v>I, T</x:v>
      </x:c>
      <x:c r="E89" s="44" t="str">
        <x:v>PROPOSED</x:v>
      </x:c>
      <x:c r="F89" s="44" t="str">
        <x:v>1.1 RC1 or earlier - lineage pending</x:v>
      </x:c>
      <x:c r="G89" s="44" t="str"/>
      <x:c r="H89" s="44" t="str"/>
      <x:c r="I89" s="44" t="str"/>
      <x:c r="J89" s="44" t="str"/>
      <x:c r="K89" s="44" t="str"/>
      <x:c r="L89" s="44" t="str"/>
      <x:c r="M89" s="44" t="str">
        <x:v>UNDETERMINED - claim-specific profile matrix required</x:v>
      </x:c>
      <x:c r="N89" s="44" t="str">
        <x:v>1.2 WD</x:v>
      </x:c>
      <x:c r="O89" s="44" t="str">
        <x:v>AERA-001-1.2WD-20260807.1</x:v>
      </x:c>
      <x:c r="P89" s="45" t="str">
        <x:v>Authoritative PDF Appendix A; generated from controlled source</x:v>
      </x:c>
    </x:row>
    <x:row r="90" ht="60" customHeight="1">
      <x:c r="A90" s="43" t="str">
        <x:v>AERA-DAF-112</x:v>
      </x:c>
      <x:c r="B90" s="44" t="str">
        <x:v>DAF</x:v>
      </x:c>
      <x:c r="C90" s="44" t="str">
        <x:v>DEFER, ESCALATE, SIMULATE, QUARANTINE, and DENY SHALL NOT be accepted as authorization for an operational effect.</x:v>
      </x:c>
      <x:c r="D90" s="44" t="str">
        <x:v>I, T</x:v>
      </x:c>
      <x:c r="E90" s="44" t="str">
        <x:v>PROPOSED</x:v>
      </x:c>
      <x:c r="F90" s="44" t="str">
        <x:v>1.1 RC1 or earlier - lineage pending</x:v>
      </x:c>
      <x:c r="G90" s="44" t="str"/>
      <x:c r="H90" s="44" t="str"/>
      <x:c r="I90" s="44" t="str"/>
      <x:c r="J90" s="44" t="str"/>
      <x:c r="K90" s="44" t="str"/>
      <x:c r="L90" s="44" t="str"/>
      <x:c r="M90" s="44" t="str">
        <x:v>UNDETERMINED - claim-specific profile matrix required</x:v>
      </x:c>
      <x:c r="N90" s="44" t="str">
        <x:v>1.2 WD</x:v>
      </x:c>
      <x:c r="O90" s="44" t="str">
        <x:v>AERA-001-1.2WD-20260807.1</x:v>
      </x:c>
      <x:c r="P90" s="45" t="str">
        <x:v>Authoritative PDF Appendix A; generated from controlled source</x:v>
      </x:c>
    </x:row>
    <x:row r="91" ht="60" customHeight="1">
      <x:c r="A91" s="43" t="str">
        <x:v>AERA-DAF-113</x:v>
      </x:c>
      <x:c r="B91" s="44" t="str">
        <x:v>DAF</x:v>
      </x:c>
      <x:c r="C91" s="44" t="str">
        <x:v>A permit SHALL state a bounded validity interval, bounded use count, or both.</x:v>
      </x:c>
      <x:c r="D91" s="44" t="str">
        <x:v>I, T</x:v>
      </x:c>
      <x:c r="E91" s="44" t="str">
        <x:v>PROPOSED</x:v>
      </x:c>
      <x:c r="F91" s="44" t="str">
        <x:v>1.1 RC1 or earlier - lineage pending</x:v>
      </x:c>
      <x:c r="G91" s="44" t="str"/>
      <x:c r="H91" s="44" t="str"/>
      <x:c r="I91" s="44" t="str"/>
      <x:c r="J91" s="44" t="str"/>
      <x:c r="K91" s="44" t="str"/>
      <x:c r="L91" s="44" t="str"/>
      <x:c r="M91" s="44" t="str">
        <x:v>UNDETERMINED - claim-specific profile matrix required</x:v>
      </x:c>
      <x:c r="N91" s="44" t="str">
        <x:v>1.2 WD</x:v>
      </x:c>
      <x:c r="O91" s="44" t="str">
        <x:v>AERA-001-1.2WD-20260807.1</x:v>
      </x:c>
      <x:c r="P91" s="45" t="str">
        <x:v>Authoritative PDF Appendix A; generated from controlled source</x:v>
      </x:c>
    </x:row>
    <x:row r="92" ht="60" customHeight="1">
      <x:c r="A92" s="43" t="str">
        <x:v>AERA-DAF-114</x:v>
      </x:c>
      <x:c r="B92" s="44" t="str">
        <x:v>DAF</x:v>
      </x:c>
      <x:c r="C92" s="44" t="str">
        <x:v>The DAF SHALL record all applicable non-permit reasons even when it returns one primary disposition.</x:v>
      </x:c>
      <x:c r="D92" s="44" t="str">
        <x:v>I, T</x:v>
      </x:c>
      <x:c r="E92" s="44" t="str">
        <x:v>PROPOSED</x:v>
      </x:c>
      <x:c r="F92" s="44" t="str">
        <x:v>1.1 RC1 or earlier - lineage pending</x:v>
      </x:c>
      <x:c r="G92" s="44" t="str"/>
      <x:c r="H92" s="44" t="str"/>
      <x:c r="I92" s="44" t="str"/>
      <x:c r="J92" s="44" t="str"/>
      <x:c r="K92" s="44" t="str"/>
      <x:c r="L92" s="44" t="str"/>
      <x:c r="M92" s="44" t="str">
        <x:v>UNDETERMINED - claim-specific profile matrix required</x:v>
      </x:c>
      <x:c r="N92" s="44" t="str">
        <x:v>1.2 WD</x:v>
      </x:c>
      <x:c r="O92" s="44" t="str">
        <x:v>AERA-001-1.2WD-20260807.1</x:v>
      </x:c>
      <x:c r="P92" s="45" t="str">
        <x:v>Authoritative PDF Appendix A; generated from controlled source</x:v>
      </x:c>
    </x:row>
    <x:row r="93" ht="60" customHeight="1">
      <x:c r="A93" s="43" t="str">
        <x:v>AERA-DAF-115</x:v>
      </x:c>
      <x:c r="B93" s="44" t="str">
        <x:v>DAF</x:v>
      </x:c>
      <x:c r="C93" s="44" t="str">
        <x:v>Unresolved policy conflict, ambiguous authority scope, or incomplete mandatory context SHALL NOT produce a permit.</x:v>
      </x:c>
      <x:c r="D93" s="44" t="str">
        <x:v>A, T</x:v>
      </x:c>
      <x:c r="E93" s="44" t="str">
        <x:v>PROPOSED</x:v>
      </x:c>
      <x:c r="F93" s="44" t="str">
        <x:v>1.1 RC1 or earlier - lineage pending</x:v>
      </x:c>
      <x:c r="G93" s="44" t="str"/>
      <x:c r="H93" s="44" t="str"/>
      <x:c r="I93" s="44" t="str"/>
      <x:c r="J93" s="44" t="str"/>
      <x:c r="K93" s="44" t="str"/>
      <x:c r="L93" s="44" t="str"/>
      <x:c r="M93" s="44" t="str">
        <x:v>UNDETERMINED - claim-specific profile matrix required</x:v>
      </x:c>
      <x:c r="N93" s="44" t="str">
        <x:v>1.2 WD</x:v>
      </x:c>
      <x:c r="O93" s="44" t="str">
        <x:v>AERA-001-1.2WD-20260807.1</x:v>
      </x:c>
      <x:c r="P93" s="45" t="str">
        <x:v>Authoritative PDF Appendix A; generated from controlled source</x:v>
      </x:c>
    </x:row>
    <x:row r="94" ht="60" customHeight="1">
      <x:c r="A94" s="43" t="str">
        <x:v>AERA-DAF-116</x:v>
      </x:c>
      <x:c r="B94" s="44" t="str">
        <x:v>DAF</x:v>
      </x:c>
      <x:c r="C94" s="44" t="str">
        <x:v>State transitions SHALL be attributable, ordered, integrity-protected, and associated with stated time quality.</x:v>
      </x:c>
      <x:c r="D94" s="44" t="str">
        <x:v>I, T</x:v>
      </x:c>
      <x:c r="E94" s="44" t="str">
        <x:v>PROPOSED</x:v>
      </x:c>
      <x:c r="F94" s="44" t="str">
        <x:v>1.1 RC1 or earlier - lineage pending</x:v>
      </x:c>
      <x:c r="G94" s="44" t="str"/>
      <x:c r="H94" s="44" t="str"/>
      <x:c r="I94" s="44" t="str"/>
      <x:c r="J94" s="44" t="str"/>
      <x:c r="K94" s="44" t="str"/>
      <x:c r="L94" s="44" t="str"/>
      <x:c r="M94" s="44" t="str">
        <x:v>UNDETERMINED - claim-specific profile matrix required</x:v>
      </x:c>
      <x:c r="N94" s="44" t="str">
        <x:v>1.2 WD</x:v>
      </x:c>
      <x:c r="O94" s="44" t="str">
        <x:v>AERA-001-1.2WD-20260807.1</x:v>
      </x:c>
      <x:c r="P94" s="45" t="str">
        <x:v>Authoritative PDF Appendix A; generated from controlled source</x:v>
      </x:c>
    </x:row>
    <x:row r="95" ht="60" customHeight="1">
      <x:c r="A95" s="43" t="str">
        <x:v>AERA-DAF-117</x:v>
      </x:c>
      <x:c r="B95" s="44" t="str">
        <x:v>DAF</x:v>
      </x:c>
      <x:c r="C95" s="44" t="str">
        <x:v>Re-evaluation after deferment, escalation, or simulation SHALL preserve the prior snapshot and create a new evaluation snapshot.</x:v>
      </x:c>
      <x:c r="D95" s="44" t="str">
        <x:v>I, T</x:v>
      </x:c>
      <x:c r="E95" s="44" t="str">
        <x:v>PROPOSED</x:v>
      </x:c>
      <x:c r="F95" s="44" t="str">
        <x:v>1.1 RC1 or earlier - lineage pending</x:v>
      </x:c>
      <x:c r="G95" s="44" t="str"/>
      <x:c r="H95" s="44" t="str"/>
      <x:c r="I95" s="44" t="str"/>
      <x:c r="J95" s="44" t="str"/>
      <x:c r="K95" s="44" t="str"/>
      <x:c r="L95" s="44" t="str"/>
      <x:c r="M95" s="44" t="str">
        <x:v>UNDETERMINED - claim-specific profile matrix required</x:v>
      </x:c>
      <x:c r="N95" s="44" t="str">
        <x:v>1.2 WD</x:v>
      </x:c>
      <x:c r="O95" s="44" t="str">
        <x:v>AERA-001-1.2WD-20260807.1</x:v>
      </x:c>
      <x:c r="P95" s="45" t="str">
        <x:v>Authoritative PDF Appendix A; generated from controlled source</x:v>
      </x:c>
    </x:row>
    <x:row r="96" ht="60" customHeight="1">
      <x:c r="A96" s="43" t="str">
        <x:v>AERA-DAF-118</x:v>
      </x:c>
      <x:c r="B96" s="44" t="str">
        <x:v>DAF</x:v>
      </x:c>
      <x:c r="C96" s="44" t="str">
        <x:v>A decision transaction SHALL NOT enter verified closure until the enforcement receipt and required effect observations have been reconciled with the decision contract, or residual-risk closure has been explicitly approved.</x:v>
      </x:c>
      <x:c r="D96" s="44" t="str">
        <x:v>I, T, D</x:v>
      </x:c>
      <x:c r="E96" s="44" t="str">
        <x:v>PROPOSED</x:v>
      </x:c>
      <x:c r="F96" s="44" t="str">
        <x:v>1.1 RC1 or earlier - lineage pending</x:v>
      </x:c>
      <x:c r="G96" s="44" t="str"/>
      <x:c r="H96" s="44" t="str"/>
      <x:c r="I96" s="44" t="str"/>
      <x:c r="J96" s="44" t="str"/>
      <x:c r="K96" s="44" t="str"/>
      <x:c r="L96" s="44" t="str"/>
      <x:c r="M96" s="44" t="str">
        <x:v>UNDETERMINED - claim-specific profile matrix required</x:v>
      </x:c>
      <x:c r="N96" s="44" t="str">
        <x:v>1.2 WD</x:v>
      </x:c>
      <x:c r="O96" s="44" t="str">
        <x:v>AERA-001-1.2WD-20260807.1</x:v>
      </x:c>
      <x:c r="P96" s="45" t="str">
        <x:v>Authoritative PDF Appendix A; generated from controlled source</x:v>
      </x:c>
    </x:row>
    <x:row r="97" ht="60" customHeight="1">
      <x:c r="A97" s="43" t="str">
        <x:v>AERA-ENF-101</x:v>
      </x:c>
      <x:c r="B97" s="44" t="str">
        <x:v>ENF</x:v>
      </x:c>
      <x:c r="C97" s="44" t="str">
        <x:v>Each material effect SHALL be mediated by an enforcement point that is independently controllable from the proposer to the degree required by consequence.</x:v>
      </x:c>
      <x:c r="D97" s="44" t="str">
        <x:v>I, A, T</x:v>
      </x:c>
      <x:c r="E97" s="44" t="str">
        <x:v>PROPOSED</x:v>
      </x:c>
      <x:c r="F97" s="44" t="str">
        <x:v>1.1 RC1 or earlier - lineage pending</x:v>
      </x:c>
      <x:c r="G97" s="44" t="str"/>
      <x:c r="H97" s="44" t="str"/>
      <x:c r="I97" s="44" t="str"/>
      <x:c r="J97" s="44" t="str"/>
      <x:c r="K97" s="44" t="str"/>
      <x:c r="L97" s="44" t="str"/>
      <x:c r="M97" s="44" t="str">
        <x:v>UNDETERMINED - claim-specific profile matrix required</x:v>
      </x:c>
      <x:c r="N97" s="44" t="str">
        <x:v>1.2 WD</x:v>
      </x:c>
      <x:c r="O97" s="44" t="str">
        <x:v>AERA-001-1.2WD-20260807.1</x:v>
      </x:c>
      <x:c r="P97" s="45" t="str">
        <x:v>Authoritative PDF Appendix A; generated from controlled source</x:v>
      </x:c>
    </x:row>
    <x:row r="98" ht="60" customHeight="1">
      <x:c r="A98" s="43" t="str">
        <x:v>AERA-ENF-102</x:v>
      </x:c>
      <x:c r="B98" s="44" t="str">
        <x:v>ENF</x:v>
      </x:c>
      <x:c r="C98" s="44" t="str">
        <x:v>The enforcement point SHALL validate the authorization artifact, actor, target, canonical proposal digest, constraints, validity, use limit, and revocation state before execution.</x:v>
      </x:c>
      <x:c r="D98" s="44" t="str">
        <x:v>I, T</x:v>
      </x:c>
      <x:c r="E98" s="44" t="str">
        <x:v>PROPOSED</x:v>
      </x:c>
      <x:c r="F98" s="44" t="str">
        <x:v>1.1 RC1 or earlier - lineage pending</x:v>
      </x:c>
      <x:c r="G98" s="44" t="str"/>
      <x:c r="H98" s="44" t="str"/>
      <x:c r="I98" s="44" t="str"/>
      <x:c r="J98" s="44" t="str"/>
      <x:c r="K98" s="44" t="str"/>
      <x:c r="L98" s="44" t="str"/>
      <x:c r="M98" s="44" t="str">
        <x:v>UNDETERMINED - claim-specific profile matrix required</x:v>
      </x:c>
      <x:c r="N98" s="44" t="str">
        <x:v>1.2 WD</x:v>
      </x:c>
      <x:c r="O98" s="44" t="str">
        <x:v>AERA-001-1.2WD-20260807.1</x:v>
      </x:c>
      <x:c r="P98" s="45" t="str">
        <x:v>Authoritative PDF Appendix A; generated from controlled source</x:v>
      </x:c>
    </x:row>
    <x:row r="99" ht="60" customHeight="1">
      <x:c r="A99" s="43" t="str">
        <x:v>AERA-ENF-103</x:v>
      </x:c>
      <x:c r="B99" s="44" t="str">
        <x:v>ENF</x:v>
      </x:c>
      <x:c r="C99" s="44" t="str">
        <x:v>The enforcement point SHALL reject proposal substitution, target substitution, actor substitution, replay, expired authorization, exhausted use, and use outside the named enforcement boundary.</x:v>
      </x:c>
      <x:c r="D99" s="44" t="str">
        <x:v>T</x:v>
      </x:c>
      <x:c r="E99" s="44" t="str">
        <x:v>PROPOSED</x:v>
      </x:c>
      <x:c r="F99" s="44" t="str">
        <x:v>1.1 RC1 or earlier - lineage pending</x:v>
      </x:c>
      <x:c r="G99" s="44" t="str"/>
      <x:c r="H99" s="44" t="str"/>
      <x:c r="I99" s="44" t="str"/>
      <x:c r="J99" s="44" t="str"/>
      <x:c r="K99" s="44" t="str"/>
      <x:c r="L99" s="44" t="str"/>
      <x:c r="M99" s="44" t="str">
        <x:v>UNDETERMINED - claim-specific profile matrix required</x:v>
      </x:c>
      <x:c r="N99" s="44" t="str">
        <x:v>1.2 WD</x:v>
      </x:c>
      <x:c r="O99" s="44" t="str">
        <x:v>AERA-001-1.2WD-20260807.1</x:v>
      </x:c>
      <x:c r="P99" s="45" t="str">
        <x:v>Authoritative PDF Appendix A; generated from controlled source</x:v>
      </x:c>
    </x:row>
    <x:row r="100" ht="60" customHeight="1">
      <x:c r="A100" s="43" t="str">
        <x:v>AERA-ENF-104</x:v>
      </x:c>
      <x:c r="B100" s="44" t="str">
        <x:v>ENF</x:v>
      </x:c>
      <x:c r="C100" s="44" t="str">
        <x:v>Revocation after dispatch SHALL invoke the defined stop, containment, or recovery behavior and SHALL preserve evidence of any effect already initiated.</x:v>
      </x:c>
      <x:c r="D100" s="44" t="str">
        <x:v>I, T, D</x:v>
      </x:c>
      <x:c r="E100" s="44" t="str">
        <x:v>PROPOSED</x:v>
      </x:c>
      <x:c r="F100" s="44" t="str">
        <x:v>1.1 RC1 or earlier - lineage pending</x:v>
      </x:c>
      <x:c r="G100" s="44" t="str"/>
      <x:c r="H100" s="44" t="str"/>
      <x:c r="I100" s="44" t="str"/>
      <x:c r="J100" s="44" t="str"/>
      <x:c r="K100" s="44" t="str"/>
      <x:c r="L100" s="44" t="str"/>
      <x:c r="M100" s="44" t="str">
        <x:v>UNDETERMINED - claim-specific profile matrix required</x:v>
      </x:c>
      <x:c r="N100" s="44" t="str">
        <x:v>1.2 WD</x:v>
      </x:c>
      <x:c r="O100" s="44" t="str">
        <x:v>AERA-001-1.2WD-20260807.1</x:v>
      </x:c>
      <x:c r="P100" s="45" t="str">
        <x:v>Authoritative PDF Appendix A; generated from controlled source</x:v>
      </x:c>
    </x:row>
    <x:row r="101" ht="60" customHeight="1">
      <x:c r="A101" s="43" t="str">
        <x:v>AERA-ENF-105</x:v>
      </x:c>
      <x:c r="B101" s="44" t="str">
        <x:v>ENF</x:v>
      </x:c>
      <x:c r="C101" s="44" t="str">
        <x:v>The enforcement path SHALL produce an integrity-protected receipt stating validation, accepted proposal, actual execution parameters, timing, result, and exceptions.</x:v>
      </x:c>
      <x:c r="D101" s="44" t="str">
        <x:v>I, T</x:v>
      </x:c>
      <x:c r="E101" s="44" t="str">
        <x:v>PROPOSED</x:v>
      </x:c>
      <x:c r="F101" s="44" t="str">
        <x:v>1.1 RC1 or earlier - lineage pending</x:v>
      </x:c>
      <x:c r="G101" s="44" t="str"/>
      <x:c r="H101" s="44" t="str"/>
      <x:c r="I101" s="44" t="str"/>
      <x:c r="J101" s="44" t="str"/>
      <x:c r="K101" s="44" t="str"/>
      <x:c r="L101" s="44" t="str"/>
      <x:c r="M101" s="44" t="str">
        <x:v>UNDETERMINED - claim-specific profile matrix required</x:v>
      </x:c>
      <x:c r="N101" s="44" t="str">
        <x:v>1.2 WD</x:v>
      </x:c>
      <x:c r="O101" s="44" t="str">
        <x:v>AERA-001-1.2WD-20260807.1</x:v>
      </x:c>
      <x:c r="P101" s="45" t="str">
        <x:v>Authoritative PDF Appendix A; generated from controlled source</x:v>
      </x:c>
    </x:row>
    <x:row r="102" ht="60" customHeight="1">
      <x:c r="A102" s="43" t="str">
        <x:v>AERA-ENF-106</x:v>
      </x:c>
      <x:c r="B102" s="44" t="str">
        <x:v>ENF</x:v>
      </x:c>
      <x:c r="C102" s="44" t="str">
        <x:v>Required effect observation SHALL be independent of the proposer for CC-3 and CC-4 decisions unless the assurance case documents why independence is infeasible and identifies compensating controls.</x:v>
      </x:c>
      <x:c r="D102" s="44" t="str">
        <x:v>I, A, T</x:v>
      </x:c>
      <x:c r="E102" s="44" t="str">
        <x:v>PROPOSED</x:v>
      </x:c>
      <x:c r="F102" s="44" t="str">
        <x:v>1.1 RC1 or earlier - lineage pending</x:v>
      </x:c>
      <x:c r="G102" s="44" t="str"/>
      <x:c r="H102" s="44" t="str"/>
      <x:c r="I102" s="44" t="str"/>
      <x:c r="J102" s="44" t="str"/>
      <x:c r="K102" s="44" t="str"/>
      <x:c r="L102" s="44" t="str"/>
      <x:c r="M102" s="44" t="str">
        <x:v>UNDETERMINED - claim-specific profile matrix required</x:v>
      </x:c>
      <x:c r="N102" s="44" t="str">
        <x:v>1.2 WD</x:v>
      </x:c>
      <x:c r="O102" s="44" t="str">
        <x:v>AERA-001-1.2WD-20260807.1</x:v>
      </x:c>
      <x:c r="P102" s="45" t="str">
        <x:v>Authoritative PDF Appendix A; generated from controlled source</x:v>
      </x:c>
    </x:row>
    <x:row r="103" ht="60" customHeight="1">
      <x:c r="A103" s="43" t="str">
        <x:v>AERA-ENF-107</x:v>
      </x:c>
      <x:c r="B103" s="44" t="str">
        <x:v>ENF</x:v>
      </x:c>
      <x:c r="C103" s="44" t="str">
        <x:v>The audit record SHALL reconstruct the causal chain from intent and delegation through proposal, evidence, vector, policy, disposition, enforcement, observed effect, override, exception, and recovery.</x:v>
      </x:c>
      <x:c r="D103" s="44" t="str">
        <x:v>I, T, D</x:v>
      </x:c>
      <x:c r="E103" s="44" t="str">
        <x:v>PROPOSED</x:v>
      </x:c>
      <x:c r="F103" s="44" t="str">
        <x:v>1.1 RC1 or earlier - lineage pending</x:v>
      </x:c>
      <x:c r="G103" s="44" t="str"/>
      <x:c r="H103" s="44" t="str"/>
      <x:c r="I103" s="44" t="str"/>
      <x:c r="J103" s="44" t="str"/>
      <x:c r="K103" s="44" t="str"/>
      <x:c r="L103" s="44" t="str"/>
      <x:c r="M103" s="44" t="str">
        <x:v>UNDETERMINED - claim-specific profile matrix required</x:v>
      </x:c>
      <x:c r="N103" s="44" t="str">
        <x:v>1.2 WD</x:v>
      </x:c>
      <x:c r="O103" s="44" t="str">
        <x:v>AERA-001-1.2WD-20260807.1</x:v>
      </x:c>
      <x:c r="P103" s="45" t="str">
        <x:v>Authoritative PDF Appendix A; generated from controlled source</x:v>
      </x:c>
    </x:row>
    <x:row r="104" ht="60" customHeight="1">
      <x:c r="A104" s="43" t="str">
        <x:v>AERA-EVID-001</x:v>
      </x:c>
      <x:c r="B104" s="44" t="str">
        <x:v>EVID</x:v>
      </x:c>
      <x:c r="C104" s="44" t="str">
        <x:v>Decision evidence SHALL carry or resolve to source identity, provenance, observed/effective time, acquisition/transformation history, integrity, freshness, uncertainty/quality, relevant configuration/calibration, and restrictions.</x:v>
      </x:c>
      <x:c r="D104" s="44" t="str">
        <x:v>I, T</x:v>
      </x:c>
      <x:c r="E104" s="44" t="str">
        <x:v>PROPOSED</x:v>
      </x:c>
      <x:c r="F104" s="44" t="str">
        <x:v>1.1 RC1 or earlier - lineage pending</x:v>
      </x:c>
      <x:c r="G104" s="44" t="str"/>
      <x:c r="H104" s="44" t="str"/>
      <x:c r="I104" s="44" t="str"/>
      <x:c r="J104" s="44" t="str"/>
      <x:c r="K104" s="44" t="str"/>
      <x:c r="L104" s="44" t="str"/>
      <x:c r="M104" s="44" t="str">
        <x:v>UNDETERMINED - claim-specific profile matrix required</x:v>
      </x:c>
      <x:c r="N104" s="44" t="str">
        <x:v>1.2 WD</x:v>
      </x:c>
      <x:c r="O104" s="44" t="str">
        <x:v>AERA-001-1.2WD-20260807.1</x:v>
      </x:c>
      <x:c r="P104" s="45" t="str">
        <x:v>Authoritative PDF Appendix A; generated from controlled source</x:v>
      </x:c>
    </x:row>
    <x:row r="105" ht="60" customHeight="1">
      <x:c r="A105" s="43" t="str">
        <x:v>AERA-EVID-002</x:v>
      </x:c>
      <x:c r="B105" s="44" t="str">
        <x:v>EVID</x:v>
      </x:c>
      <x:c r="C105" s="44" t="str">
        <x:v>High-consequence disposition SHALL use evidence or enforcement sufficiently independent of the proposer; independence SHALL address shared source, time, network, software, administration, and supply-chain dependencies.</x:v>
      </x:c>
      <x:c r="D105" s="44" t="str">
        <x:v>A, T</x:v>
      </x:c>
      <x:c r="E105" s="44" t="str">
        <x:v>PROPOSED</x:v>
      </x:c>
      <x:c r="F105" s="44" t="str">
        <x:v>1.1 RC1 or earlier - lineage pending</x:v>
      </x:c>
      <x:c r="G105" s="44" t="str"/>
      <x:c r="H105" s="44" t="str"/>
      <x:c r="I105" s="44" t="str"/>
      <x:c r="J105" s="44" t="str"/>
      <x:c r="K105" s="44" t="str"/>
      <x:c r="L105" s="44" t="str"/>
      <x:c r="M105" s="44" t="str">
        <x:v>UNDETERMINED - claim-specific profile matrix required</x:v>
      </x:c>
      <x:c r="N105" s="44" t="str">
        <x:v>1.2 WD</x:v>
      </x:c>
      <x:c r="O105" s="44" t="str">
        <x:v>AERA-001-1.2WD-20260807.1</x:v>
      </x:c>
      <x:c r="P105" s="45" t="str">
        <x:v>Authoritative PDF Appendix A; generated from controlled source</x:v>
      </x:c>
    </x:row>
    <x:row r="106" ht="60" customHeight="1">
      <x:c r="A106" s="43" t="str">
        <x:v>AERA-EVID-003</x:v>
      </x:c>
      <x:c r="B106" s="44" t="str">
        <x:v>EVID</x:v>
      </x:c>
      <x:c r="C106" s="44" t="str">
        <x:v>Material contradictions SHALL be retained, surfaced to policy, and resolved or dispositioned; fusion SHALL NOT suppress contradiction to create unsupported confidence.</x:v>
      </x:c>
      <x:c r="D106" s="44" t="str">
        <x:v>I, T</x:v>
      </x:c>
      <x:c r="E106" s="44" t="str">
        <x:v>PROPOSED</x:v>
      </x:c>
      <x:c r="F106" s="44" t="str">
        <x:v>1.1 RC1 or earlier - lineage pending</x:v>
      </x:c>
      <x:c r="G106" s="44" t="str"/>
      <x:c r="H106" s="44" t="str"/>
      <x:c r="I106" s="44" t="str"/>
      <x:c r="J106" s="44" t="str"/>
      <x:c r="K106" s="44" t="str"/>
      <x:c r="L106" s="44" t="str"/>
      <x:c r="M106" s="44" t="str">
        <x:v>UNDETERMINED - claim-specific profile matrix required</x:v>
      </x:c>
      <x:c r="N106" s="44" t="str">
        <x:v>1.2 WD</x:v>
      </x:c>
      <x:c r="O106" s="44" t="str">
        <x:v>AERA-001-1.2WD-20260807.1</x:v>
      </x:c>
      <x:c r="P106" s="45" t="str">
        <x:v>Authoritative PDF Appendix A; generated from controlled source</x:v>
      </x:c>
    </x:row>
    <x:row r="107" ht="60" customHeight="1">
      <x:c r="A107" s="43" t="str">
        <x:v>AERA-EVID-004</x:v>
      </x:c>
      <x:c r="B107" s="44" t="str">
        <x:v>EVID</x:v>
      </x:c>
      <x:c r="C107" s="44" t="str">
        <x:v>Transformed evidence SHALL preserve source-level traceability and declare transformations that prevent independent re-evaluation.</x:v>
      </x:c>
      <x:c r="D107" s="44" t="str">
        <x:v>I, T</x:v>
      </x:c>
      <x:c r="E107" s="44" t="str">
        <x:v>PROPOSED</x:v>
      </x:c>
      <x:c r="F107" s="44" t="str">
        <x:v>1.1 RC1 or earlier - lineage pending</x:v>
      </x:c>
      <x:c r="G107" s="44" t="str"/>
      <x:c r="H107" s="44" t="str"/>
      <x:c r="I107" s="44" t="str"/>
      <x:c r="J107" s="44" t="str"/>
      <x:c r="K107" s="44" t="str"/>
      <x:c r="L107" s="44" t="str"/>
      <x:c r="M107" s="44" t="str">
        <x:v>UNDETERMINED - claim-specific profile matrix required</x:v>
      </x:c>
      <x:c r="N107" s="44" t="str">
        <x:v>1.2 WD</x:v>
      </x:c>
      <x:c r="O107" s="44" t="str">
        <x:v>AERA-001-1.2WD-20260807.1</x:v>
      </x:c>
      <x:c r="P107" s="45" t="str">
        <x:v>Authoritative PDF Appendix A; generated from controlled source</x:v>
      </x:c>
    </x:row>
    <x:row r="108" ht="60" customHeight="1">
      <x:c r="A108" s="43" t="str">
        <x:v>AERA-EVID-011</x:v>
      </x:c>
      <x:c r="B108" s="44" t="str">
        <x:v>EVID</x:v>
      </x:c>
      <x:c r="C108" s="44" t="str">
        <x:v>Data used to train, adapt, evaluate, or operate a consequence-material autonomous capability SHALL have documented provenance, quality, representativeness, limitations, permissible use, and change control.</x:v>
      </x:c>
      <x:c r="D108" s="44" t="str">
        <x:v>I, A, T</x:v>
      </x:c>
      <x:c r="E108" s="44" t="str">
        <x:v>PROPOSED</x:v>
      </x:c>
      <x:c r="F108" s="44" t="str">
        <x:v>1.1 RC1 or earlier - lineage pending</x:v>
      </x:c>
      <x:c r="G108" s="44" t="str"/>
      <x:c r="H108" s="44" t="str"/>
      <x:c r="I108" s="44" t="str"/>
      <x:c r="J108" s="44" t="str"/>
      <x:c r="K108" s="44" t="str"/>
      <x:c r="L108" s="44" t="str"/>
      <x:c r="M108" s="44" t="str">
        <x:v>UNDETERMINED - claim-specific profile matrix required</x:v>
      </x:c>
      <x:c r="N108" s="44" t="str">
        <x:v>1.2 WD</x:v>
      </x:c>
      <x:c r="O108" s="44" t="str">
        <x:v>AERA-001-1.2WD-20260807.1</x:v>
      </x:c>
      <x:c r="P108" s="45" t="str">
        <x:v>Authoritative PDF Appendix A; generated from controlled source</x:v>
      </x:c>
    </x:row>
    <x:row r="109" ht="60" customHeight="1">
      <x:c r="A109" s="43" t="str">
        <x:v>AERA-EVID-101</x:v>
      </x:c>
      <x:c r="B109" s="44" t="str">
        <x:v>EVID</x:v>
      </x:c>
      <x:c r="C109" s="44" t="str">
        <x:v>Decision evidence SHALL identify the supported claim, source, provenance, transformations, integrity state, uncertainty, observation time, valid interval, and limitations.</x:v>
      </x:c>
      <x:c r="D109" s="44" t="str">
        <x:v>I, T</x:v>
      </x:c>
      <x:c r="E109" s="44" t="str">
        <x:v>PROPOSED</x:v>
      </x:c>
      <x:c r="F109" s="44" t="str">
        <x:v>1.1 RC1 or earlier - lineage pending</x:v>
      </x:c>
      <x:c r="G109" s="44" t="str"/>
      <x:c r="H109" s="44" t="str"/>
      <x:c r="I109" s="44" t="str"/>
      <x:c r="J109" s="44" t="str"/>
      <x:c r="K109" s="44" t="str"/>
      <x:c r="L109" s="44" t="str"/>
      <x:c r="M109" s="44" t="str">
        <x:v>UNDETERMINED - claim-specific profile matrix required</x:v>
      </x:c>
      <x:c r="N109" s="44" t="str">
        <x:v>1.2 WD</x:v>
      </x:c>
      <x:c r="O109" s="44" t="str">
        <x:v>AERA-001-1.2WD-20260807.1</x:v>
      </x:c>
      <x:c r="P109" s="45" t="str">
        <x:v>Authoritative PDF Appendix A; generated from controlled source</x:v>
      </x:c>
    </x:row>
    <x:row r="110" ht="60" customHeight="1">
      <x:c r="A110" s="43" t="str">
        <x:v>AERA-EVID-102</x:v>
      </x:c>
      <x:c r="B110" s="44" t="str">
        <x:v>EVID</x:v>
      </x:c>
      <x:c r="C110" s="44" t="str">
        <x:v>The DAF SHALL evaluate evidence freshness and time/PNT quality against the requirements of the specific decision contract.</x:v>
      </x:c>
      <x:c r="D110" s="44" t="str">
        <x:v>I, A, T</x:v>
      </x:c>
      <x:c r="E110" s="44" t="str">
        <x:v>PROPOSED</x:v>
      </x:c>
      <x:c r="F110" s="44" t="str">
        <x:v>1.1 RC1 or earlier - lineage pending</x:v>
      </x:c>
      <x:c r="G110" s="44" t="str"/>
      <x:c r="H110" s="44" t="str"/>
      <x:c r="I110" s="44" t="str"/>
      <x:c r="J110" s="44" t="str"/>
      <x:c r="K110" s="44" t="str"/>
      <x:c r="L110" s="44" t="str"/>
      <x:c r="M110" s="44" t="str">
        <x:v>UNDETERMINED - claim-specific profile matrix required</x:v>
      </x:c>
      <x:c r="N110" s="44" t="str">
        <x:v>1.2 WD</x:v>
      </x:c>
      <x:c r="O110" s="44" t="str">
        <x:v>AERA-001-1.2WD-20260807.1</x:v>
      </x:c>
      <x:c r="P110" s="45" t="str">
        <x:v>Authoritative PDF Appendix A; generated from controlled source</x:v>
      </x:c>
    </x:row>
    <x:row r="111" ht="60" customHeight="1">
      <x:c r="A111" s="43" t="str">
        <x:v>AERA-EVID-103</x:v>
      </x:c>
      <x:c r="B111" s="44" t="str">
        <x:v>EVID</x:v>
      </x:c>
      <x:c r="C111" s="44" t="str">
        <x:v>Evidence status SHALL distinguish source capability present, source monitored, evidence accepted, and evidence used in the computed assurance verdict.</x:v>
      </x:c>
      <x:c r="D111" s="44" t="str">
        <x:v>I, T</x:v>
      </x:c>
      <x:c r="E111" s="44" t="str">
        <x:v>PROPOSED</x:v>
      </x:c>
      <x:c r="F111" s="44" t="str">
        <x:v>1.1 RC1 or earlier - lineage pending</x:v>
      </x:c>
      <x:c r="G111" s="44" t="str"/>
      <x:c r="H111" s="44" t="str"/>
      <x:c r="I111" s="44" t="str"/>
      <x:c r="J111" s="44" t="str"/>
      <x:c r="K111" s="44" t="str"/>
      <x:c r="L111" s="44" t="str"/>
      <x:c r="M111" s="44" t="str">
        <x:v>UNDETERMINED - claim-specific profile matrix required</x:v>
      </x:c>
      <x:c r="N111" s="44" t="str">
        <x:v>1.2 WD</x:v>
      </x:c>
      <x:c r="O111" s="44" t="str">
        <x:v>AERA-001-1.2WD-20260807.1</x:v>
      </x:c>
      <x:c r="P111" s="45" t="str">
        <x:v>Authoritative PDF Appendix A; generated from controlled source</x:v>
      </x:c>
    </x:row>
    <x:row r="112" ht="60" customHeight="1">
      <x:c r="A112" s="43" t="str">
        <x:v>AERA-EVID-104</x:v>
      </x:c>
      <x:c r="B112" s="44" t="str">
        <x:v>EVID</x:v>
      </x:c>
      <x:c r="C112" s="44" t="str">
        <x:v>Required source independence SHALL be defined against the relevant common-mode and administrative-control failure model; source count alone SHALL NOT establish independence.</x:v>
      </x:c>
      <x:c r="D112" s="44" t="str">
        <x:v>I, A, T</x:v>
      </x:c>
      <x:c r="E112" s="44" t="str">
        <x:v>PROPOSED</x:v>
      </x:c>
      <x:c r="F112" s="44" t="str">
        <x:v>1.1 RC1 or earlier - lineage pending</x:v>
      </x:c>
      <x:c r="G112" s="44" t="str"/>
      <x:c r="H112" s="44" t="str"/>
      <x:c r="I112" s="44" t="str"/>
      <x:c r="J112" s="44" t="str"/>
      <x:c r="K112" s="44" t="str"/>
      <x:c r="L112" s="44" t="str"/>
      <x:c r="M112" s="44" t="str">
        <x:v>UNDETERMINED - claim-specific profile matrix required</x:v>
      </x:c>
      <x:c r="N112" s="44" t="str">
        <x:v>1.2 WD</x:v>
      </x:c>
      <x:c r="O112" s="44" t="str">
        <x:v>AERA-001-1.2WD-20260807.1</x:v>
      </x:c>
      <x:c r="P112" s="45" t="str">
        <x:v>Authoritative PDF Appendix A; generated from controlled source</x:v>
      </x:c>
    </x:row>
    <x:row r="113" ht="60" customHeight="1">
      <x:c r="A113" s="43" t="str">
        <x:v>AERA-EVID-105</x:v>
      </x:c>
      <x:c r="B113" s="44" t="str">
        <x:v>EVID</x:v>
      </x:c>
      <x:c r="C113" s="44" t="str">
        <x:v>Contradictory, withdrawn, corrected, stale, or compromised evidence SHALL trigger the policy-defined re-evaluation, constraint, deferment, escalation, quarantine, denial, or recovery behavior.</x:v>
      </x:c>
      <x:c r="D113" s="44" t="str">
        <x:v>I, T</x:v>
      </x:c>
      <x:c r="E113" s="44" t="str">
        <x:v>PROPOSED</x:v>
      </x:c>
      <x:c r="F113" s="44" t="str">
        <x:v>1.1 RC1 or earlier - lineage pending</x:v>
      </x:c>
      <x:c r="G113" s="44" t="str"/>
      <x:c r="H113" s="44" t="str"/>
      <x:c r="I113" s="44" t="str"/>
      <x:c r="J113" s="44" t="str"/>
      <x:c r="K113" s="44" t="str"/>
      <x:c r="L113" s="44" t="str"/>
      <x:c r="M113" s="44" t="str">
        <x:v>UNDETERMINED - claim-specific profile matrix required</x:v>
      </x:c>
      <x:c r="N113" s="44" t="str">
        <x:v>1.2 WD</x:v>
      </x:c>
      <x:c r="O113" s="44" t="str">
        <x:v>AERA-001-1.2WD-20260807.1</x:v>
      </x:c>
      <x:c r="P113" s="45" t="str">
        <x:v>Authoritative PDF Appendix A; generated from controlled source</x:v>
      </x:c>
    </x:row>
    <x:row r="114" ht="60" customHeight="1">
      <x:c r="A114" s="43" t="str">
        <x:v>AERA-EVID-106</x:v>
      </x:c>
      <x:c r="B114" s="44" t="str">
        <x:v>EVID</x:v>
      </x:c>
      <x:c r="C114" s="44" t="str">
        <x:v>Each material decision class SHALL define stop conditions, degraded behavior, and a validated recovery envelope, and the DAF SHALL evaluate current recovery readiness before permit.</x:v>
      </x:c>
      <x:c r="D114" s="44" t="str">
        <x:v>I, A, T, D</x:v>
      </x:c>
      <x:c r="E114" s="44" t="str">
        <x:v>PROPOSED</x:v>
      </x:c>
      <x:c r="F114" s="44" t="str">
        <x:v>1.1 RC1 or earlier - lineage pending</x:v>
      </x:c>
      <x:c r="G114" s="44" t="str"/>
      <x:c r="H114" s="44" t="str"/>
      <x:c r="I114" s="44" t="str"/>
      <x:c r="J114" s="44" t="str"/>
      <x:c r="K114" s="44" t="str"/>
      <x:c r="L114" s="44" t="str"/>
      <x:c r="M114" s="44" t="str">
        <x:v>UNDETERMINED - claim-specific profile matrix required</x:v>
      </x:c>
      <x:c r="N114" s="44" t="str">
        <x:v>1.2 WD</x:v>
      </x:c>
      <x:c r="O114" s="44" t="str">
        <x:v>AERA-001-1.2WD-20260807.1</x:v>
      </x:c>
      <x:c r="P114" s="45" t="str">
        <x:v>Authoritative PDF Appendix A; generated from controlled source</x:v>
      </x:c>
    </x:row>
    <x:row r="115" ht="60" customHeight="1">
      <x:c r="A115" s="43" t="str">
        <x:v>AERA-EVID-112</x:v>
      </x:c>
      <x:c r="B115" s="44" t="str">
        <x:v>EVID</x:v>
      </x:c>
      <x:c r="C115" s="44" t="str">
        <x:v>A decision-relevant state claim SHALL identify its typed state model and SHALL NOT treat ACCEPTED_BY_SERVICE, USED_IN_SOURCE_SOLUTION, USED_IN_AUTHORIZATION, and VALIDATED_EFFECTIVE as equivalent states.</x:v>
      </x:c>
      <x:c r="D115" s="44" t="str">
        <x:v>I, A, T</x:v>
      </x:c>
      <x:c r="E115" s="44" t="str">
        <x:v>PROPOSED</x:v>
      </x:c>
      <x:c r="F115" s="44" t="str">
        <x:v>1.2 WD</x:v>
      </x:c>
      <x:c r="G115" s="44" t="str"/>
      <x:c r="H115" s="44" t="str"/>
      <x:c r="I115" s="44" t="str"/>
      <x:c r="J115" s="44" t="str"/>
      <x:c r="K115" s="44" t="str"/>
      <x:c r="L115" s="44" t="str"/>
      <x:c r="M115" s="44" t="str">
        <x:v>UNDETERMINED - claim-specific profile matrix required</x:v>
      </x:c>
      <x:c r="N115" s="44" t="str">
        <x:v>1.2 WD</x:v>
      </x:c>
      <x:c r="O115" s="44" t="str">
        <x:v>AERA-001-1.2WD-20260807.1</x:v>
      </x:c>
      <x:c r="P115" s="45" t="str">
        <x:v>Authoritative PDF Appendix A; generated from controlled source</x:v>
      </x:c>
    </x:row>
    <x:row r="116" ht="60" customHeight="1">
      <x:c r="A116" s="43" t="str">
        <x:v>AERA-GOV-001</x:v>
      </x:c>
      <x:c r="B116" s="44" t="str">
        <x:v>GOV</x:v>
      </x:c>
      <x:c r="C116" s="44" t="str">
        <x:v>Each autonomous decision class SHALL have a named human or governing body accountable for mission legitimacy, delegated authority, residual risk, suspension, and reassessment.</x:v>
      </x:c>
      <x:c r="D116" s="44" t="str">
        <x:v>I, D</x:v>
      </x:c>
      <x:c r="E116" s="44" t="str">
        <x:v>PROPOSED</x:v>
      </x:c>
      <x:c r="F116" s="44" t="str">
        <x:v>1.1 RC1 or earlier - lineage pending</x:v>
      </x:c>
      <x:c r="G116" s="44" t="str"/>
      <x:c r="H116" s="44" t="str"/>
      <x:c r="I116" s="44" t="str"/>
      <x:c r="J116" s="44" t="str"/>
      <x:c r="K116" s="44" t="str"/>
      <x:c r="L116" s="44" t="str"/>
      <x:c r="M116" s="44" t="str">
        <x:v>UNDETERMINED - claim-specific profile matrix required</x:v>
      </x:c>
      <x:c r="N116" s="44" t="str">
        <x:v>1.2 WD</x:v>
      </x:c>
      <x:c r="O116" s="44" t="str">
        <x:v>AERA-001-1.2WD-20260807.1</x:v>
      </x:c>
      <x:c r="P116" s="45" t="str">
        <x:v>Authoritative PDF Appendix A; generated from controlled source</x:v>
      </x:c>
    </x:row>
    <x:row r="117" ht="60" customHeight="1">
      <x:c r="A117" s="43" t="str">
        <x:v>AERA-GOV-002</x:v>
      </x:c>
      <x:c r="B117" s="44" t="str">
        <x:v>GOV</x:v>
      </x:c>
      <x:c r="C117" s="44" t="str">
        <x:v>Governance SHALL review performance, overrides, near misses, adverse effects, anomalies, deviations, recovery, and material authority/policy/threat/consequence/obligation changes at defined cadence and triggers.</x:v>
      </x:c>
      <x:c r="D117" s="44" t="str">
        <x:v>I, A</x:v>
      </x:c>
      <x:c r="E117" s="44" t="str">
        <x:v>PROPOSED</x:v>
      </x:c>
      <x:c r="F117" s="44" t="str">
        <x:v>1.1 RC1 or earlier - lineage pending</x:v>
      </x:c>
      <x:c r="G117" s="44" t="str"/>
      <x:c r="H117" s="44" t="str"/>
      <x:c r="I117" s="44" t="str"/>
      <x:c r="J117" s="44" t="str"/>
      <x:c r="K117" s="44" t="str"/>
      <x:c r="L117" s="44" t="str"/>
      <x:c r="M117" s="44" t="str">
        <x:v>UNDETERMINED - claim-specific profile matrix required</x:v>
      </x:c>
      <x:c r="N117" s="44" t="str">
        <x:v>1.2 WD</x:v>
      </x:c>
      <x:c r="O117" s="44" t="str">
        <x:v>AERA-001-1.2WD-20260807.1</x:v>
      </x:c>
      <x:c r="P117" s="45" t="str">
        <x:v>Authoritative PDF Appendix A; generated from controlled source</x:v>
      </x:c>
    </x:row>
    <x:row r="118" ht="60" customHeight="1">
      <x:c r="A118" s="43" t="str">
        <x:v>AERA-GOV-003</x:v>
      </x:c>
      <x:c r="B118" s="44" t="str">
        <x:v>GOV</x:v>
      </x:c>
      <x:c r="C118" s="44" t="str">
        <x:v>Applicable privacy, civil-rights, equity, safety, transparency, recordkeeping, redress, and data-governance obligations SHALL be identified for each decision class and translated into enforceable intent, policy, evidence, and oversight requirements.</x:v>
      </x:c>
      <x:c r="D118" s="44" t="str">
        <x:v>I, A</x:v>
      </x:c>
      <x:c r="E118" s="44" t="str">
        <x:v>PROPOSED</x:v>
      </x:c>
      <x:c r="F118" s="44" t="str">
        <x:v>1.1 RC1 or earlier - lineage pending</x:v>
      </x:c>
      <x:c r="G118" s="44" t="str"/>
      <x:c r="H118" s="44" t="str"/>
      <x:c r="I118" s="44" t="str"/>
      <x:c r="J118" s="44" t="str"/>
      <x:c r="K118" s="44" t="str"/>
      <x:c r="L118" s="44" t="str"/>
      <x:c r="M118" s="44" t="str">
        <x:v>UNDETERMINED - claim-specific profile matrix required</x:v>
      </x:c>
      <x:c r="N118" s="44" t="str">
        <x:v>1.2 WD</x:v>
      </x:c>
      <x:c r="O118" s="44" t="str">
        <x:v>AERA-001-1.2WD-20260807.1</x:v>
      </x:c>
      <x:c r="P118" s="45" t="str">
        <x:v>Authoritative PDF Appendix A; generated from controlled source</x:v>
      </x:c>
    </x:row>
    <x:row r="119" ht="60" customHeight="1">
      <x:c r="A119" s="43" t="str">
        <x:v>AERA-GOV-004</x:v>
      </x:c>
      <x:c r="B119" s="44" t="str">
        <x:v>GOV</x:v>
      </x:c>
      <x:c r="C119" s="44" t="str">
        <x:v>A consequence-material decision class affecting people SHALL define notice, contestability, human review, and redress mechanisms, or SHALL document the legal and mission basis for inapplicability.</x:v>
      </x:c>
      <x:c r="D119" s="44" t="str">
        <x:v>I, A, D</x:v>
      </x:c>
      <x:c r="E119" s="44" t="str">
        <x:v>PROPOSED</x:v>
      </x:c>
      <x:c r="F119" s="44" t="str">
        <x:v>1.1 RC1 or earlier - lineage pending</x:v>
      </x:c>
      <x:c r="G119" s="44" t="str"/>
      <x:c r="H119" s="44" t="str"/>
      <x:c r="I119" s="44" t="str"/>
      <x:c r="J119" s="44" t="str"/>
      <x:c r="K119" s="44" t="str"/>
      <x:c r="L119" s="44" t="str"/>
      <x:c r="M119" s="44" t="str">
        <x:v>UNDETERMINED - claim-specific profile matrix required</x:v>
      </x:c>
      <x:c r="N119" s="44" t="str">
        <x:v>1.2 WD</x:v>
      </x:c>
      <x:c r="O119" s="44" t="str">
        <x:v>AERA-001-1.2WD-20260807.1</x:v>
      </x:c>
      <x:c r="P119" s="45" t="str">
        <x:v>Authoritative PDF Appendix A; generated from controlled source</x:v>
      </x:c>
    </x:row>
    <x:row r="120" ht="60" customHeight="1">
      <x:c r="A120" s="43" t="str">
        <x:v>AERA-GOVR-001</x:v>
      </x:c>
      <x:c r="B120" s="44" t="str">
        <x:v>GOVR</x:v>
      </x:c>
      <x:c r="C120" s="44" t="str">
        <x:v>Every normative change SHALL identify impact on definitions, requirements, interfaces, schemas, threats, crosswalks and conformance.</x:v>
      </x:c>
      <x:c r="D120" s="44" t="str">
        <x:v>I, A, T and/or D as consequence requires</x:v>
      </x:c>
      <x:c r="E120" s="44" t="str">
        <x:v>PROPOSED</x:v>
      </x:c>
      <x:c r="F120" s="44" t="str">
        <x:v>1.1 RC1 or earlier - lineage pending</x:v>
      </x:c>
      <x:c r="G120" s="44" t="str"/>
      <x:c r="H120" s="44" t="str"/>
      <x:c r="I120" s="44" t="str"/>
      <x:c r="J120" s="44" t="str"/>
      <x:c r="K120" s="44" t="str"/>
      <x:c r="L120" s="44" t="str"/>
      <x:c r="M120" s="44" t="str">
        <x:v>UNDETERMINED - claim-specific profile matrix required</x:v>
      </x:c>
      <x:c r="N120" s="44" t="str">
        <x:v>1.2 WD</x:v>
      </x:c>
      <x:c r="O120" s="44" t="str">
        <x:v>AERA-001-1.2WD-20260807.1</x:v>
      </x:c>
      <x:c r="P120" s="45" t="str">
        <x:v>Authoritative PDF Appendix A; generated from controlled source</x:v>
      </x:c>
    </x:row>
    <x:row r="121" ht="60" customHeight="1">
      <x:c r="A121" s="43" t="str">
        <x:v>AERA-GOVR-002</x:v>
      </x:c>
      <x:c r="B121" s="44" t="str">
        <x:v>GOVR</x:v>
      </x:c>
      <x:c r="C121" s="44" t="str">
        <x:v>Sector profiles SHALL preserve or strengthen the AERA core control floor.</x:v>
      </x:c>
      <x:c r="D121" s="44" t="str">
        <x:v>I, A, T and/or D as consequence requires</x:v>
      </x:c>
      <x:c r="E121" s="44" t="str">
        <x:v>PROPOSED</x:v>
      </x:c>
      <x:c r="F121" s="44" t="str">
        <x:v>1.1 RC1 or earlier - lineage pending</x:v>
      </x:c>
      <x:c r="G121" s="44" t="str"/>
      <x:c r="H121" s="44" t="str"/>
      <x:c r="I121" s="44" t="str"/>
      <x:c r="J121" s="44" t="str"/>
      <x:c r="K121" s="44" t="str"/>
      <x:c r="L121" s="44" t="str"/>
      <x:c r="M121" s="44" t="str">
        <x:v>UNDETERMINED - claim-specific profile matrix required</x:v>
      </x:c>
      <x:c r="N121" s="44" t="str">
        <x:v>1.2 WD</x:v>
      </x:c>
      <x:c r="O121" s="44" t="str">
        <x:v>AERA-001-1.2WD-20260807.1</x:v>
      </x:c>
      <x:c r="P121" s="45" t="str">
        <x:v>Authoritative PDF Appendix A; generated from controlled source</x:v>
      </x:c>
    </x:row>
    <x:row r="122" ht="60" customHeight="1">
      <x:c r="A122" s="43" t="str">
        <x:v>AERA-GOVR-003</x:v>
      </x:c>
      <x:c r="B122" s="44" t="str">
        <x:v>GOVR</x:v>
      </x:c>
      <x:c r="C122" s="44" t="str">
        <x:v>A conformance claim SHALL remain bound to the AERA edition assessed.</x:v>
      </x:c>
      <x:c r="D122" s="44" t="str">
        <x:v>I, A, T and/or D as consequence requires</x:v>
      </x:c>
      <x:c r="E122" s="44" t="str">
        <x:v>PROPOSED</x:v>
      </x:c>
      <x:c r="F122" s="44" t="str">
        <x:v>1.1 RC1 or earlier - lineage pending</x:v>
      </x:c>
      <x:c r="G122" s="44" t="str"/>
      <x:c r="H122" s="44" t="str"/>
      <x:c r="I122" s="44" t="str"/>
      <x:c r="J122" s="44" t="str"/>
      <x:c r="K122" s="44" t="str"/>
      <x:c r="L122" s="44" t="str"/>
      <x:c r="M122" s="44" t="str">
        <x:v>UNDETERMINED - claim-specific profile matrix required</x:v>
      </x:c>
      <x:c r="N122" s="44" t="str">
        <x:v>1.2 WD</x:v>
      </x:c>
      <x:c r="O122" s="44" t="str">
        <x:v>AERA-001-1.2WD-20260807.1</x:v>
      </x:c>
      <x:c r="P122" s="45" t="str">
        <x:v>Authoritative PDF Appendix A; generated from controlled source</x:v>
      </x:c>
    </x:row>
    <x:row r="123" ht="60" customHeight="1">
      <x:c r="A123" s="43" t="str">
        <x:v>AERA-GOVR-004</x:v>
      </x:c>
      <x:c r="B123" s="44" t="str">
        <x:v>GOVR</x:v>
      </x:c>
      <x:c r="C123" s="44" t="str">
        <x:v>External mappings SHALL be versioned, directional and reviewed on source or AERA revision.</x:v>
      </x:c>
      <x:c r="D123" s="44" t="str">
        <x:v>I, A, T and/or D as consequence requires</x:v>
      </x:c>
      <x:c r="E123" s="44" t="str">
        <x:v>PROPOSED</x:v>
      </x:c>
      <x:c r="F123" s="44" t="str">
        <x:v>1.1 RC1 or earlier - lineage pending</x:v>
      </x:c>
      <x:c r="G123" s="44" t="str"/>
      <x:c r="H123" s="44" t="str"/>
      <x:c r="I123" s="44" t="str"/>
      <x:c r="J123" s="44" t="str"/>
      <x:c r="K123" s="44" t="str"/>
      <x:c r="L123" s="44" t="str"/>
      <x:c r="M123" s="44" t="str">
        <x:v>UNDETERMINED - claim-specific profile matrix required</x:v>
      </x:c>
      <x:c r="N123" s="44" t="str">
        <x:v>1.2 WD</x:v>
      </x:c>
      <x:c r="O123" s="44" t="str">
        <x:v>AERA-001-1.2WD-20260807.1</x:v>
      </x:c>
      <x:c r="P123" s="45" t="str">
        <x:v>Authoritative PDF Appendix A; generated from controlled source</x:v>
      </x:c>
    </x:row>
    <x:row r="124" ht="60" customHeight="1">
      <x:c r="A124" s="43" t="str">
        <x:v>AERA-GOVR-005</x:v>
      </x:c>
      <x:c r="B124" s="44" t="str">
        <x:v>GOVR</x:v>
      </x:c>
      <x:c r="C124" s="44" t="str">
        <x:v>An urgent advisory SHALL identify scope, evidence, required action and expiration or incorporation path.</x:v>
      </x:c>
      <x:c r="D124" s="44" t="str">
        <x:v>I, A, T and/or D as consequence requires</x:v>
      </x:c>
      <x:c r="E124" s="44" t="str">
        <x:v>PROPOSED</x:v>
      </x:c>
      <x:c r="F124" s="44" t="str">
        <x:v>1.1 RC1 or earlier - lineage pending</x:v>
      </x:c>
      <x:c r="G124" s="44" t="str"/>
      <x:c r="H124" s="44" t="str"/>
      <x:c r="I124" s="44" t="str"/>
      <x:c r="J124" s="44" t="str"/>
      <x:c r="K124" s="44" t="str"/>
      <x:c r="L124" s="44" t="str"/>
      <x:c r="M124" s="44" t="str">
        <x:v>UNDETERMINED - claim-specific profile matrix required</x:v>
      </x:c>
      <x:c r="N124" s="44" t="str">
        <x:v>1.2 WD</x:v>
      </x:c>
      <x:c r="O124" s="44" t="str">
        <x:v>AERA-001-1.2WD-20260807.1</x:v>
      </x:c>
      <x:c r="P124" s="45" t="str">
        <x:v>Authoritative PDF Appendix A; generated from controlled source</x:v>
      </x:c>
    </x:row>
    <x:row r="125" ht="60" customHeight="1">
      <x:c r="A125" s="43" t="str">
        <x:v>AERA-GOVR-006</x:v>
      </x:c>
      <x:c r="B125" s="44" t="str">
        <x:v>GOVR</x:v>
      </x:c>
      <x:c r="C125" s="44" t="str">
        <x:v>The controlled publication process SHALL maintain a public, versioned change record that links each material comment or proposal to its disposition, rationale, affected artifacts, and effective edition.</x:v>
      </x:c>
      <x:c r="D125" s="44" t="str">
        <x:v>I, A</x:v>
      </x:c>
      <x:c r="E125" s="44" t="str">
        <x:v>PROPOSED</x:v>
      </x:c>
      <x:c r="F125" s="44" t="str">
        <x:v>1.2 WD</x:v>
      </x:c>
      <x:c r="G125" s="44" t="str"/>
      <x:c r="H125" s="44" t="str"/>
      <x:c r="I125" s="44" t="str"/>
      <x:c r="J125" s="44" t="str"/>
      <x:c r="K125" s="44" t="str"/>
      <x:c r="L125" s="44" t="str"/>
      <x:c r="M125" s="44" t="str">
        <x:v>UNDETERMINED - claim-specific profile matrix required</x:v>
      </x:c>
      <x:c r="N125" s="44" t="str">
        <x:v>1.2 WD</x:v>
      </x:c>
      <x:c r="O125" s="44" t="str">
        <x:v>AERA-001-1.2WD-20260807.1</x:v>
      </x:c>
      <x:c r="P125" s="45" t="str">
        <x:v>Authoritative PDF Appendix A; generated from controlled source</x:v>
      </x:c>
    </x:row>
    <x:row r="126" ht="60" customHeight="1">
      <x:c r="A126" s="43" t="str">
        <x:v>AERA-GOVR-007</x:v>
      </x:c>
      <x:c r="B126" s="44" t="str">
        <x:v>GOVR</x:v>
      </x:c>
      <x:c r="C126" s="44" t="str">
        <x:v>The publication process SHALL identify editor, contributor, reviewer, pilot, and assessor roles and SHALL disclose relevant competence, organizational affiliation, sponsorship, and conflicts of interest.</x:v>
      </x:c>
      <x:c r="D126" s="44" t="str">
        <x:v>I</x:v>
      </x:c>
      <x:c r="E126" s="44" t="str">
        <x:v>PROPOSED</x:v>
      </x:c>
      <x:c r="F126" s="44" t="str">
        <x:v>1.2 WD</x:v>
      </x:c>
      <x:c r="G126" s="44" t="str"/>
      <x:c r="H126" s="44" t="str"/>
      <x:c r="I126" s="44" t="str"/>
      <x:c r="J126" s="44" t="str"/>
      <x:c r="K126" s="44" t="str"/>
      <x:c r="L126" s="44" t="str"/>
      <x:c r="M126" s="44" t="str">
        <x:v>UNDETERMINED - claim-specific profile matrix required</x:v>
      </x:c>
      <x:c r="N126" s="44" t="str">
        <x:v>1.2 WD</x:v>
      </x:c>
      <x:c r="O126" s="44" t="str">
        <x:v>AERA-001-1.2WD-20260807.1</x:v>
      </x:c>
      <x:c r="P126" s="45" t="str">
        <x:v>Authoritative PDF Appendix A; generated from controlled source</x:v>
      </x:c>
    </x:row>
    <x:row r="127" ht="60" customHeight="1">
      <x:c r="A127" s="43" t="str">
        <x:v>AERA-GOVR-008</x:v>
      </x:c>
      <x:c r="B127" s="44" t="str">
        <x:v>GOVR</x:v>
      </x:c>
      <x:c r="C127" s="44" t="str">
        <x:v>A proposed normative revision SHALL receive a defined multistakeholder review period, preserve substantive dissent, and publish disposition before it is represented as a consensus release.</x:v>
      </x:c>
      <x:c r="D127" s="44" t="str">
        <x:v>I, A</x:v>
      </x:c>
      <x:c r="E127" s="44" t="str">
        <x:v>PROPOSED</x:v>
      </x:c>
      <x:c r="F127" s="44" t="str">
        <x:v>1.2 WD</x:v>
      </x:c>
      <x:c r="G127" s="44" t="str"/>
      <x:c r="H127" s="44" t="str"/>
      <x:c r="I127" s="44" t="str"/>
      <x:c r="J127" s="44" t="str"/>
      <x:c r="K127" s="44" t="str"/>
      <x:c r="L127" s="44" t="str"/>
      <x:c r="M127" s="44" t="str">
        <x:v>UNDETERMINED - claim-specific profile matrix required</x:v>
      </x:c>
      <x:c r="N127" s="44" t="str">
        <x:v>1.2 WD</x:v>
      </x:c>
      <x:c r="O127" s="44" t="str">
        <x:v>AERA-001-1.2WD-20260807.1</x:v>
      </x:c>
      <x:c r="P127" s="45" t="str">
        <x:v>Authoritative PDF Appendix A; generated from controlled source</x:v>
      </x:c>
    </x:row>
    <x:row r="128" ht="60" customHeight="1">
      <x:c r="A128" s="43" t="str">
        <x:v>AERA-GOVR-009</x:v>
      </x:c>
      <x:c r="B128" s="44" t="str">
        <x:v>GOVR</x:v>
      </x:c>
      <x:c r="C128" s="44" t="str">
        <x:v>Human-readable and machine-readable normative artifacts SHALL be generated from or reconciled to one authoritative controlled source, carry the same edition identifier, and pass semantic and integrity checks before release.</x:v>
      </x:c>
      <x:c r="D128" s="44" t="str">
        <x:v>I, A, T</x:v>
      </x:c>
      <x:c r="E128" s="44" t="str">
        <x:v>PROPOSED</x:v>
      </x:c>
      <x:c r="F128" s="44" t="str">
        <x:v>1.2 WD</x:v>
      </x:c>
      <x:c r="G128" s="44" t="str"/>
      <x:c r="H128" s="44" t="str"/>
      <x:c r="I128" s="44" t="str"/>
      <x:c r="J128" s="44" t="str"/>
      <x:c r="K128" s="44" t="str"/>
      <x:c r="L128" s="44" t="str"/>
      <x:c r="M128" s="44" t="str">
        <x:v>UNDETERMINED - claim-specific profile matrix required</x:v>
      </x:c>
      <x:c r="N128" s="44" t="str">
        <x:v>1.2 WD</x:v>
      </x:c>
      <x:c r="O128" s="44" t="str">
        <x:v>AERA-001-1.2WD-20260807.1</x:v>
      </x:c>
      <x:c r="P128" s="45" t="str">
        <x:v>Authoritative PDF Appendix A; generated from controlled source</x:v>
      </x:c>
    </x:row>
    <x:row r="129" ht="60" customHeight="1">
      <x:c r="A129" s="43" t="str">
        <x:v>AERA-GOVR-010</x:v>
      </x:c>
      <x:c r="B129" s="44" t="str">
        <x:v>GOVR</x:v>
      </x:c>
      <x:c r="C129" s="44" t="str">
        <x:v>A maturity, conformance, interoperability, or effectiveness claim SHALL state the assessed population, assessor independence, evidence period, known limitations, and whether multi-organization or inter-rater validation has been completed.</x:v>
      </x:c>
      <x:c r="D129" s="44" t="str">
        <x:v>I, A</x:v>
      </x:c>
      <x:c r="E129" s="44" t="str">
        <x:v>PROPOSED</x:v>
      </x:c>
      <x:c r="F129" s="44" t="str">
        <x:v>1.2 WD</x:v>
      </x:c>
      <x:c r="G129" s="44" t="str"/>
      <x:c r="H129" s="44" t="str"/>
      <x:c r="I129" s="44" t="str"/>
      <x:c r="J129" s="44" t="str"/>
      <x:c r="K129" s="44" t="str"/>
      <x:c r="L129" s="44" t="str"/>
      <x:c r="M129" s="44" t="str">
        <x:v>UNDETERMINED - claim-specific profile matrix required</x:v>
      </x:c>
      <x:c r="N129" s="44" t="str">
        <x:v>1.2 WD</x:v>
      </x:c>
      <x:c r="O129" s="44" t="str">
        <x:v>AERA-001-1.2WD-20260807.1</x:v>
      </x:c>
      <x:c r="P129" s="45" t="str">
        <x:v>Authoritative PDF Appendix A; generated from controlled source</x:v>
      </x:c>
    </x:row>
    <x:row r="130" ht="60" customHeight="1">
      <x:c r="A130" s="43" t="str">
        <x:v>AERA-GOVR-011</x:v>
      </x:c>
      <x:c r="B130" s="44" t="str">
        <x:v>GOVR</x:v>
      </x:c>
      <x:c r="C130" s="44" t="str">
        <x:v>Each public edition SHALL state its copyright, license, contribution terms, permitted uses, and intellectual-property process before external redistribution or standards submission.</x:v>
      </x:c>
      <x:c r="D130" s="44" t="str">
        <x:v>I</x:v>
      </x:c>
      <x:c r="E130" s="44" t="str">
        <x:v>PROPOSED</x:v>
      </x:c>
      <x:c r="F130" s="44" t="str">
        <x:v>1.2 WD</x:v>
      </x:c>
      <x:c r="G130" s="44" t="str"/>
      <x:c r="H130" s="44" t="str"/>
      <x:c r="I130" s="44" t="str"/>
      <x:c r="J130" s="44" t="str"/>
      <x:c r="K130" s="44" t="str"/>
      <x:c r="L130" s="44" t="str"/>
      <x:c r="M130" s="44" t="str">
        <x:v>UNDETERMINED - claim-specific profile matrix required</x:v>
      </x:c>
      <x:c r="N130" s="44" t="str">
        <x:v>1.2 WD</x:v>
      </x:c>
      <x:c r="O130" s="44" t="str">
        <x:v>AERA-001-1.2WD-20260807.1</x:v>
      </x:c>
      <x:c r="P130" s="45" t="str">
        <x:v>Authoritative PDF Appendix A; generated from controlled source</x:v>
      </x:c>
    </x:row>
    <x:row r="131" ht="60" customHeight="1">
      <x:c r="A131" s="43" t="str">
        <x:v>AERA-GOVR-012</x:v>
      </x:c>
      <x:c r="B131" s="44" t="str">
        <x:v>GOVR</x:v>
      </x:c>
      <x:c r="C131" s="44" t="str">
        <x:v>A released artifact SHALL be immutable; any byte-changing replacement SHALL receive a new build identifier and manifest, and any normative change SHALL receive a new specification version.</x:v>
      </x:c>
      <x:c r="D131" s="44" t="str">
        <x:v>I, T</x:v>
      </x:c>
      <x:c r="E131" s="44" t="str">
        <x:v>PROPOSED</x:v>
      </x:c>
      <x:c r="F131" s="44" t="str">
        <x:v>1.2 WD</x:v>
      </x:c>
      <x:c r="G131" s="44" t="str"/>
      <x:c r="H131" s="44" t="str"/>
      <x:c r="I131" s="44" t="str"/>
      <x:c r="J131" s="44" t="str"/>
      <x:c r="K131" s="44" t="str"/>
      <x:c r="L131" s="44" t="str"/>
      <x:c r="M131" s="44" t="str">
        <x:v>UNDETERMINED - claim-specific profile matrix required</x:v>
      </x:c>
      <x:c r="N131" s="44" t="str">
        <x:v>1.2 WD</x:v>
      </x:c>
      <x:c r="O131" s="44" t="str">
        <x:v>AERA-001-1.2WD-20260807.1</x:v>
      </x:c>
      <x:c r="P131" s="45" t="str">
        <x:v>Authoritative PDF Appendix A; generated from controlled source</x:v>
      </x:c>
    </x:row>
    <x:row r="132" ht="60" customHeight="1">
      <x:c r="A132" s="43" t="str">
        <x:v>AERA-HUM-101</x:v>
      </x:c>
      <x:c r="B132" s="44" t="str">
        <x:v>HUM</x:v>
      </x:c>
      <x:c r="C132" s="44" t="str">
        <x:v>Every decision class SHALL designate an accountable human authority and the applicable human-control mode.</x:v>
      </x:c>
      <x:c r="D132" s="44" t="str">
        <x:v>I, A, T and/or D as consequence requires</x:v>
      </x:c>
      <x:c r="E132" s="44" t="str">
        <x:v>PROPOSED</x:v>
      </x:c>
      <x:c r="F132" s="44" t="str">
        <x:v>1.1 RC1 or earlier - lineage pending</x:v>
      </x:c>
      <x:c r="G132" s="44" t="str"/>
      <x:c r="H132" s="44" t="str"/>
      <x:c r="I132" s="44" t="str"/>
      <x:c r="J132" s="44" t="str"/>
      <x:c r="K132" s="44" t="str"/>
      <x:c r="L132" s="44" t="str"/>
      <x:c r="M132" s="44" t="str">
        <x:v>UNDETERMINED - claim-specific profile matrix required</x:v>
      </x:c>
      <x:c r="N132" s="44" t="str">
        <x:v>1.2 WD</x:v>
      </x:c>
      <x:c r="O132" s="44" t="str">
        <x:v>AERA-001-1.2WD-20260807.1</x:v>
      </x:c>
      <x:c r="P132" s="45" t="str">
        <x:v>Authoritative PDF Appendix A; generated from controlled source</x:v>
      </x:c>
    </x:row>
    <x:row r="133" ht="60" customHeight="1">
      <x:c r="A133" s="43" t="str">
        <x:v>AERA-HUM-102</x:v>
      </x:c>
      <x:c r="B133" s="44" t="str">
        <x:v>HUM</x:v>
      </x:c>
      <x:c r="C133" s="44" t="str">
        <x:v>CC-3 and CC-4 operation SHALL use positive oversight unless a governance-approved preauthorized envelope is validated for the decision tempo.</x:v>
      </x:c>
      <x:c r="D133" s="44" t="str">
        <x:v>I, A, T and/or D as consequence requires</x:v>
      </x:c>
      <x:c r="E133" s="44" t="str">
        <x:v>PROPOSED</x:v>
      </x:c>
      <x:c r="F133" s="44" t="str">
        <x:v>1.1 RC1 or earlier - lineage pending</x:v>
      </x:c>
      <x:c r="G133" s="44" t="str"/>
      <x:c r="H133" s="44" t="str"/>
      <x:c r="I133" s="44" t="str"/>
      <x:c r="J133" s="44" t="str"/>
      <x:c r="K133" s="44" t="str"/>
      <x:c r="L133" s="44" t="str"/>
      <x:c r="M133" s="44" t="str">
        <x:v>UNDETERMINED - claim-specific profile matrix required</x:v>
      </x:c>
      <x:c r="N133" s="44" t="str">
        <x:v>1.2 WD</x:v>
      </x:c>
      <x:c r="O133" s="44" t="str">
        <x:v>AERA-001-1.2WD-20260807.1</x:v>
      </x:c>
      <x:c r="P133" s="45" t="str">
        <x:v>Authoritative PDF Appendix A; generated from controlled source</x:v>
      </x:c>
    </x:row>
    <x:row r="134" ht="60" customHeight="1">
      <x:c r="A134" s="43" t="str">
        <x:v>AERA-HUM-103</x:v>
      </x:c>
      <x:c r="B134" s="44" t="str">
        <x:v>HUM</x:v>
      </x:c>
      <x:c r="C134" s="44" t="str">
        <x:v>A human approval interface SHALL present decisive evidence, uncertainty, alternatives, expected effects and recovery options.</x:v>
      </x:c>
      <x:c r="D134" s="44" t="str">
        <x:v>I, A, T and/or D as consequence requires</x:v>
      </x:c>
      <x:c r="E134" s="44" t="str">
        <x:v>PROPOSED</x:v>
      </x:c>
      <x:c r="F134" s="44" t="str">
        <x:v>1.1 RC1 or earlier - lineage pending</x:v>
      </x:c>
      <x:c r="G134" s="44" t="str"/>
      <x:c r="H134" s="44" t="str"/>
      <x:c r="I134" s="44" t="str"/>
      <x:c r="J134" s="44" t="str"/>
      <x:c r="K134" s="44" t="str"/>
      <x:c r="L134" s="44" t="str"/>
      <x:c r="M134" s="44" t="str">
        <x:v>UNDETERMINED - claim-specific profile matrix required</x:v>
      </x:c>
      <x:c r="N134" s="44" t="str">
        <x:v>1.2 WD</x:v>
      </x:c>
      <x:c r="O134" s="44" t="str">
        <x:v>AERA-001-1.2WD-20260807.1</x:v>
      </x:c>
      <x:c r="P134" s="45" t="str">
        <x:v>Authoritative PDF Appendix A; generated from controlled source</x:v>
      </x:c>
    </x:row>
    <x:row r="135" ht="60" customHeight="1">
      <x:c r="A135" s="43" t="str">
        <x:v>AERA-HUM-104</x:v>
      </x:c>
      <x:c r="B135" s="44" t="str">
        <x:v>HUM</x:v>
      </x:c>
      <x:c r="C135" s="44" t="str">
        <x:v>Emergency authority SHALL remain purpose-limited, time-bounded, attributable and unable to waive constraints outside the issuer authority.</x:v>
      </x:c>
      <x:c r="D135" s="44" t="str">
        <x:v>I, A, T and/or D as consequence requires</x:v>
      </x:c>
      <x:c r="E135" s="44" t="str">
        <x:v>PROPOSED</x:v>
      </x:c>
      <x:c r="F135" s="44" t="str">
        <x:v>1.1 RC1 or earlier - lineage pending</x:v>
      </x:c>
      <x:c r="G135" s="44" t="str"/>
      <x:c r="H135" s="44" t="str"/>
      <x:c r="I135" s="44" t="str"/>
      <x:c r="J135" s="44" t="str"/>
      <x:c r="K135" s="44" t="str"/>
      <x:c r="L135" s="44" t="str"/>
      <x:c r="M135" s="44" t="str">
        <x:v>UNDETERMINED - claim-specific profile matrix required</x:v>
      </x:c>
      <x:c r="N135" s="44" t="str">
        <x:v>1.2 WD</x:v>
      </x:c>
      <x:c r="O135" s="44" t="str">
        <x:v>AERA-001-1.2WD-20260807.1</x:v>
      </x:c>
      <x:c r="P135" s="45" t="str">
        <x:v>Authoritative PDF Appendix A; generated from controlled source</x:v>
      </x:c>
    </x:row>
    <x:row r="136" ht="60" customHeight="1">
      <x:c r="A136" s="43" t="str">
        <x:v>AERA-HUM-105</x:v>
      </x:c>
      <x:c r="B136" s="44" t="str">
        <x:v>HUM</x:v>
      </x:c>
      <x:c r="C136" s="44" t="str">
        <x:v>For a CC-4 decision, the accountable authority SHALL approve the decision-class envelope and every material change; each operational transaction SHALL require transaction-specific concurrence unless a tested preauthorized envelope defines exact bounds, independent deterministic interlocks, continuous observation, revocation, and expiry.</x:v>
      </x:c>
      <x:c r="D136" s="44" t="str">
        <x:v>I, A, T, D</x:v>
      </x:c>
      <x:c r="E136" s="44" t="str">
        <x:v>PROPOSED</x:v>
      </x:c>
      <x:c r="F136" s="44" t="str">
        <x:v>1.2 WD</x:v>
      </x:c>
      <x:c r="G136" s="44" t="str"/>
      <x:c r="H136" s="44" t="str"/>
      <x:c r="I136" s="44" t="str"/>
      <x:c r="J136" s="44" t="str"/>
      <x:c r="K136" s="44" t="str"/>
      <x:c r="L136" s="44" t="str"/>
      <x:c r="M136" s="44" t="str">
        <x:v>UNDETERMINED - claim-specific profile matrix required</x:v>
      </x:c>
      <x:c r="N136" s="44" t="str">
        <x:v>1.2 WD</x:v>
      </x:c>
      <x:c r="O136" s="44" t="str">
        <x:v>AERA-001-1.2WD-20260807.1</x:v>
      </x:c>
      <x:c r="P136" s="45" t="str">
        <x:v>Authoritative PDF Appendix A; generated from controlled source</x:v>
      </x:c>
    </x:row>
    <x:row r="137" ht="60" customHeight="1">
      <x:c r="A137" s="43" t="str">
        <x:v>AERA-IF-001</x:v>
      </x:c>
      <x:c r="B137" s="44" t="str">
        <x:v>IF</x:v>
      </x:c>
      <x:c r="C137" s="44" t="str">
        <x:v>Decision-relevant interfaces SHALL identify object schema and version, producer identity, integrity state and temporal validity.</x:v>
      </x:c>
      <x:c r="D137" s="44" t="str">
        <x:v>I, A, T and/or D as consequence requires</x:v>
      </x:c>
      <x:c r="E137" s="44" t="str">
        <x:v>PROPOSED</x:v>
      </x:c>
      <x:c r="F137" s="44" t="str">
        <x:v>1.1 RC1 or earlier - lineage pending</x:v>
      </x:c>
      <x:c r="G137" s="44" t="str"/>
      <x:c r="H137" s="44" t="str"/>
      <x:c r="I137" s="44" t="str"/>
      <x:c r="J137" s="44" t="str"/>
      <x:c r="K137" s="44" t="str"/>
      <x:c r="L137" s="44" t="str"/>
      <x:c r="M137" s="44" t="str">
        <x:v>UNDETERMINED - claim-specific profile matrix required</x:v>
      </x:c>
      <x:c r="N137" s="44" t="str">
        <x:v>1.2 WD</x:v>
      </x:c>
      <x:c r="O137" s="44" t="str">
        <x:v>AERA-001-1.2WD-20260807.1</x:v>
      </x:c>
      <x:c r="P137" s="45" t="str">
        <x:v>Authoritative PDF Appendix A; generated from controlled source</x:v>
      </x:c>
    </x:row>
    <x:row r="138" ht="60" customHeight="1">
      <x:c r="A138" s="43" t="str">
        <x:v>AERA-IF-002</x:v>
      </x:c>
      <x:c r="B138" s="44" t="str">
        <x:v>IF</x:v>
      </x:c>
      <x:c r="C138" s="44" t="str">
        <x:v>A material change to a bound object SHALL create a new version and trigger policy-defined reassessment.</x:v>
      </x:c>
      <x:c r="D138" s="44" t="str">
        <x:v>I, A, T and/or D as consequence requires</x:v>
      </x:c>
      <x:c r="E138" s="44" t="str">
        <x:v>PROPOSED</x:v>
      </x:c>
      <x:c r="F138" s="44" t="str">
        <x:v>1.1 RC1 or earlier - lineage pending</x:v>
      </x:c>
      <x:c r="G138" s="44" t="str"/>
      <x:c r="H138" s="44" t="str"/>
      <x:c r="I138" s="44" t="str"/>
      <x:c r="J138" s="44" t="str"/>
      <x:c r="K138" s="44" t="str"/>
      <x:c r="L138" s="44" t="str"/>
      <x:c r="M138" s="44" t="str">
        <x:v>UNDETERMINED - claim-specific profile matrix required</x:v>
      </x:c>
      <x:c r="N138" s="44" t="str">
        <x:v>1.2 WD</x:v>
      </x:c>
      <x:c r="O138" s="44" t="str">
        <x:v>AERA-001-1.2WD-20260807.1</x:v>
      </x:c>
      <x:c r="P138" s="45" t="str">
        <x:v>Authoritative PDF Appendix A; generated from controlled source</x:v>
      </x:c>
    </x:row>
    <x:row r="139" ht="60" customHeight="1">
      <x:c r="A139" s="43" t="str">
        <x:v>AERA-IF-003</x:v>
      </x:c>
      <x:c r="B139" s="44" t="str">
        <x:v>IF</x:v>
      </x:c>
      <x:c r="C139" s="44" t="str">
        <x:v>A consumer SHALL record whether an object was rejected, accepted, and used in the computed decision.</x:v>
      </x:c>
      <x:c r="D139" s="44" t="str">
        <x:v>I, A, T and/or D as consequence requires</x:v>
      </x:c>
      <x:c r="E139" s="44" t="str">
        <x:v>PROPOSED</x:v>
      </x:c>
      <x:c r="F139" s="44" t="str">
        <x:v>1.1 RC1 or earlier - lineage pending</x:v>
      </x:c>
      <x:c r="G139" s="44" t="str"/>
      <x:c r="H139" s="44" t="str"/>
      <x:c r="I139" s="44" t="str"/>
      <x:c r="J139" s="44" t="str"/>
      <x:c r="K139" s="44" t="str"/>
      <x:c r="L139" s="44" t="str"/>
      <x:c r="M139" s="44" t="str">
        <x:v>UNDETERMINED - claim-specific profile matrix required</x:v>
      </x:c>
      <x:c r="N139" s="44" t="str">
        <x:v>1.2 WD</x:v>
      </x:c>
      <x:c r="O139" s="44" t="str">
        <x:v>AERA-001-1.2WD-20260807.1</x:v>
      </x:c>
      <x:c r="P139" s="45" t="str">
        <x:v>Authoritative PDF Appendix A; generated from controlled source</x:v>
      </x:c>
    </x:row>
    <x:row r="140" ht="60" customHeight="1">
      <x:c r="A140" s="43" t="str">
        <x:v>AERA-IF-004</x:v>
      </x:c>
      <x:c r="B140" s="44" t="str">
        <x:v>IF</x:v>
      </x:c>
      <x:c r="C140" s="44" t="str">
        <x:v>A decision trace SHALL preserve causal links across all proposal-to-effect objects.</x:v>
      </x:c>
      <x:c r="D140" s="44" t="str">
        <x:v>I, A, T and/or D as consequence requires</x:v>
      </x:c>
      <x:c r="E140" s="44" t="str">
        <x:v>PROPOSED</x:v>
      </x:c>
      <x:c r="F140" s="44" t="str">
        <x:v>1.1 RC1 or earlier - lineage pending</x:v>
      </x:c>
      <x:c r="G140" s="44" t="str"/>
      <x:c r="H140" s="44" t="str"/>
      <x:c r="I140" s="44" t="str"/>
      <x:c r="J140" s="44" t="str"/>
      <x:c r="K140" s="44" t="str"/>
      <x:c r="L140" s="44" t="str"/>
      <x:c r="M140" s="44" t="str">
        <x:v>UNDETERMINED - claim-specific profile matrix required</x:v>
      </x:c>
      <x:c r="N140" s="44" t="str">
        <x:v>1.2 WD</x:v>
      </x:c>
      <x:c r="O140" s="44" t="str">
        <x:v>AERA-001-1.2WD-20260807.1</x:v>
      </x:c>
      <x:c r="P140" s="45" t="str">
        <x:v>Authoritative PDF Appendix A; generated from controlled source</x:v>
      </x:c>
    </x:row>
    <x:row r="141" ht="60" customHeight="1">
      <x:c r="A141" s="43" t="str">
        <x:v>AERA-IF-005</x:v>
      </x:c>
      <x:c r="B141" s="44" t="str">
        <x:v>IF</x:v>
      </x:c>
      <x:c r="C141" s="44" t="str">
        <x:v>Interface replay SHALL be rejected outside the use, sequence and temporal semantics of the bound transaction.</x:v>
      </x:c>
      <x:c r="D141" s="44" t="str">
        <x:v>I, A, T and/or D as consequence requires</x:v>
      </x:c>
      <x:c r="E141" s="44" t="str">
        <x:v>PROPOSED</x:v>
      </x:c>
      <x:c r="F141" s="44" t="str">
        <x:v>1.1 RC1 or earlier - lineage pending</x:v>
      </x:c>
      <x:c r="G141" s="44" t="str"/>
      <x:c r="H141" s="44" t="str"/>
      <x:c r="I141" s="44" t="str"/>
      <x:c r="J141" s="44" t="str"/>
      <x:c r="K141" s="44" t="str"/>
      <x:c r="L141" s="44" t="str"/>
      <x:c r="M141" s="44" t="str">
        <x:v>UNDETERMINED - claim-specific profile matrix required</x:v>
      </x:c>
      <x:c r="N141" s="44" t="str">
        <x:v>1.2 WD</x:v>
      </x:c>
      <x:c r="O141" s="44" t="str">
        <x:v>AERA-001-1.2WD-20260807.1</x:v>
      </x:c>
      <x:c r="P141" s="45" t="str">
        <x:v>Authoritative PDF Appendix A; generated from controlled source</x:v>
      </x:c>
    </x:row>
    <x:row r="142" ht="60" customHeight="1">
      <x:c r="A142" s="43" t="str">
        <x:v>AERA-IF-006</x:v>
      </x:c>
      <x:c r="B142" s="44" t="str">
        <x:v>IF</x:v>
      </x:c>
      <x:c r="C142" s="44" t="str">
        <x:v>Cross-domain disclosure constraints SHALL NOT remove the evidence necessary to validate authority and disposition.</x:v>
      </x:c>
      <x:c r="D142" s="44" t="str">
        <x:v>I, A, T and/or D as consequence requires</x:v>
      </x:c>
      <x:c r="E142" s="44" t="str">
        <x:v>PROPOSED</x:v>
      </x:c>
      <x:c r="F142" s="44" t="str">
        <x:v>1.1 RC1 or earlier - lineage pending</x:v>
      </x:c>
      <x:c r="G142" s="44" t="str"/>
      <x:c r="H142" s="44" t="str"/>
      <x:c r="I142" s="44" t="str"/>
      <x:c r="J142" s="44" t="str"/>
      <x:c r="K142" s="44" t="str"/>
      <x:c r="L142" s="44" t="str"/>
      <x:c r="M142" s="44" t="str">
        <x:v>UNDETERMINED - claim-specific profile matrix required</x:v>
      </x:c>
      <x:c r="N142" s="44" t="str">
        <x:v>1.2 WD</x:v>
      </x:c>
      <x:c r="O142" s="44" t="str">
        <x:v>AERA-001-1.2WD-20260807.1</x:v>
      </x:c>
      <x:c r="P142" s="45" t="str">
        <x:v>Authoritative PDF Appendix A; generated from controlled source</x:v>
      </x:c>
    </x:row>
    <x:row r="143" ht="60" customHeight="1">
      <x:c r="A143" s="43" t="str">
        <x:v>AERA-IF-007</x:v>
      </x:c>
      <x:c r="B143" s="44" t="str">
        <x:v>IF</x:v>
      </x:c>
      <x:c r="C143" s="44" t="str">
        <x:v>Corrections and withdrawals SHALL supersede rather than erase decision evidence.</x:v>
      </x:c>
      <x:c r="D143" s="44" t="str">
        <x:v>I, A, T and/or D as consequence requires</x:v>
      </x:c>
      <x:c r="E143" s="44" t="str">
        <x:v>PROPOSED</x:v>
      </x:c>
      <x:c r="F143" s="44" t="str">
        <x:v>1.1 RC1 or earlier - lineage pending</x:v>
      </x:c>
      <x:c r="G143" s="44" t="str"/>
      <x:c r="H143" s="44" t="str"/>
      <x:c r="I143" s="44" t="str"/>
      <x:c r="J143" s="44" t="str"/>
      <x:c r="K143" s="44" t="str"/>
      <x:c r="L143" s="44" t="str"/>
      <x:c r="M143" s="44" t="str">
        <x:v>UNDETERMINED - claim-specific profile matrix required</x:v>
      </x:c>
      <x:c r="N143" s="44" t="str">
        <x:v>1.2 WD</x:v>
      </x:c>
      <x:c r="O143" s="44" t="str">
        <x:v>AERA-001-1.2WD-20260807.1</x:v>
      </x:c>
      <x:c r="P143" s="45" t="str">
        <x:v>Authoritative PDF Appendix A; generated from controlled source</x:v>
      </x:c>
    </x:row>
    <x:row r="144" ht="60" customHeight="1">
      <x:c r="A144" s="43" t="str">
        <x:v>AERA-IF-008</x:v>
      </x:c>
      <x:c r="B144" s="44" t="str">
        <x:v>IF</x:v>
      </x:c>
      <x:c r="C144" s="44" t="str">
        <x:v>Authorization and enforcement objects SHALL use the same canonical action and target representation.</x:v>
      </x:c>
      <x:c r="D144" s="44" t="str">
        <x:v>I, A, T and/or D as consequence requires</x:v>
      </x:c>
      <x:c r="E144" s="44" t="str">
        <x:v>PROPOSED</x:v>
      </x:c>
      <x:c r="F144" s="44" t="str">
        <x:v>1.1 RC1 or earlier - lineage pending</x:v>
      </x:c>
      <x:c r="G144" s="44" t="str"/>
      <x:c r="H144" s="44" t="str"/>
      <x:c r="I144" s="44" t="str"/>
      <x:c r="J144" s="44" t="str"/>
      <x:c r="K144" s="44" t="str"/>
      <x:c r="L144" s="44" t="str"/>
      <x:c r="M144" s="44" t="str">
        <x:v>UNDETERMINED - claim-specific profile matrix required</x:v>
      </x:c>
      <x:c r="N144" s="44" t="str">
        <x:v>1.2 WD</x:v>
      </x:c>
      <x:c r="O144" s="44" t="str">
        <x:v>AERA-001-1.2WD-20260807.1</x:v>
      </x:c>
      <x:c r="P144" s="45" t="str">
        <x:v>Authoritative PDF Appendix A; generated from controlled source</x:v>
      </x:c>
    </x:row>
    <x:row r="145" ht="60" customHeight="1">
      <x:c r="A145" s="43" t="str">
        <x:v>AERA-IF-009</x:v>
      </x:c>
      <x:c r="B145" s="44" t="str">
        <x:v>IF</x:v>
      </x:c>
      <x:c r="C145" s="44" t="str">
        <x:v>Interface failures SHALL invoke a defined non-permit or degraded behavior.</x:v>
      </x:c>
      <x:c r="D145" s="44" t="str">
        <x:v>I, A, T and/or D as consequence requires</x:v>
      </x:c>
      <x:c r="E145" s="44" t="str">
        <x:v>PROPOSED</x:v>
      </x:c>
      <x:c r="F145" s="44" t="str">
        <x:v>1.1 RC1 or earlier - lineage pending</x:v>
      </x:c>
      <x:c r="G145" s="44" t="str"/>
      <x:c r="H145" s="44" t="str"/>
      <x:c r="I145" s="44" t="str"/>
      <x:c r="J145" s="44" t="str"/>
      <x:c r="K145" s="44" t="str"/>
      <x:c r="L145" s="44" t="str"/>
      <x:c r="M145" s="44" t="str">
        <x:v>UNDETERMINED - claim-specific profile matrix required</x:v>
      </x:c>
      <x:c r="N145" s="44" t="str">
        <x:v>1.2 WD</x:v>
      </x:c>
      <x:c r="O145" s="44" t="str">
        <x:v>AERA-001-1.2WD-20260807.1</x:v>
      </x:c>
      <x:c r="P145" s="45" t="str">
        <x:v>Authoritative PDF Appendix A; generated from controlled source</x:v>
      </x:c>
    </x:row>
    <x:row r="146" ht="60" customHeight="1">
      <x:c r="A146" s="43" t="str">
        <x:v>AERA-IF-010</x:v>
      </x:c>
      <x:c r="B146" s="44" t="str">
        <x:v>IF</x:v>
      </x:c>
      <x:c r="C146" s="44" t="str">
        <x:v>Interoperability tests SHALL include version mismatch, stale object, replay and material-substitution cases.</x:v>
      </x:c>
      <x:c r="D146" s="44" t="str">
        <x:v>I, A, T and/or D as consequence requires</x:v>
      </x:c>
      <x:c r="E146" s="44" t="str">
        <x:v>PROPOSED</x:v>
      </x:c>
      <x:c r="F146" s="44" t="str">
        <x:v>1.1 RC1 or earlier - lineage pending</x:v>
      </x:c>
      <x:c r="G146" s="44" t="str"/>
      <x:c r="H146" s="44" t="str"/>
      <x:c r="I146" s="44" t="str"/>
      <x:c r="J146" s="44" t="str"/>
      <x:c r="K146" s="44" t="str"/>
      <x:c r="L146" s="44" t="str"/>
      <x:c r="M146" s="44" t="str">
        <x:v>UNDETERMINED - claim-specific profile matrix required</x:v>
      </x:c>
      <x:c r="N146" s="44" t="str">
        <x:v>1.2 WD</x:v>
      </x:c>
      <x:c r="O146" s="44" t="str">
        <x:v>AERA-001-1.2WD-20260807.1</x:v>
      </x:c>
      <x:c r="P146" s="45" t="str">
        <x:v>Authoritative PDF Appendix A; generated from controlled source</x:v>
      </x:c>
    </x:row>
    <x:row r="147" ht="60" customHeight="1">
      <x:c r="A147" s="43" t="str">
        <x:v>AERA-INT-001</x:v>
      </x:c>
      <x:c r="B147" s="44" t="str">
        <x:v>INT</x:v>
      </x:c>
      <x:c r="C147" s="44" t="str">
        <x:v>Intent authorizing an effect SHALL be versioned, attributable, integrity-protected, temporally valid, and machine-testable for objectives, constraints, success, prohibitions, and stops.</x:v>
      </x:c>
      <x:c r="D147" s="44" t="str">
        <x:v>I, T</x:v>
      </x:c>
      <x:c r="E147" s="44" t="str">
        <x:v>PROPOSED</x:v>
      </x:c>
      <x:c r="F147" s="44" t="str">
        <x:v>1.1 RC1 or earlier - lineage pending</x:v>
      </x:c>
      <x:c r="G147" s="44" t="str"/>
      <x:c r="H147" s="44" t="str"/>
      <x:c r="I147" s="44" t="str"/>
      <x:c r="J147" s="44" t="str"/>
      <x:c r="K147" s="44" t="str"/>
      <x:c r="L147" s="44" t="str"/>
      <x:c r="M147" s="44" t="str">
        <x:v>UNDETERMINED - claim-specific profile matrix required</x:v>
      </x:c>
      <x:c r="N147" s="44" t="str">
        <x:v>1.2 WD</x:v>
      </x:c>
      <x:c r="O147" s="44" t="str">
        <x:v>AERA-001-1.2WD-20260807.1</x:v>
      </x:c>
      <x:c r="P147" s="45" t="str">
        <x:v>Authoritative PDF Appendix A; generated from controlled source</x:v>
      </x:c>
    </x:row>
    <x:row r="148" ht="60" customHeight="1">
      <x:c r="A148" s="43" t="str">
        <x:v>AERA-INT-002</x:v>
      </x:c>
      <x:c r="B148" s="44" t="str">
        <x:v>INT</x:v>
      </x:c>
      <x:c r="C148" s="44" t="str">
        <x:v>The implementation SHALL detect material objective/constraint/authority/policy conflicts and resolve by declared precedence or escalate; it SHALL NOT silently optimize unresolved conflict.</x:v>
      </x:c>
      <x:c r="D148" s="44" t="str">
        <x:v>A, T</x:v>
      </x:c>
      <x:c r="E148" s="44" t="str">
        <x:v>PROPOSED</x:v>
      </x:c>
      <x:c r="F148" s="44" t="str">
        <x:v>1.1 RC1 or earlier - lineage pending</x:v>
      </x:c>
      <x:c r="G148" s="44" t="str"/>
      <x:c r="H148" s="44" t="str"/>
      <x:c r="I148" s="44" t="str"/>
      <x:c r="J148" s="44" t="str"/>
      <x:c r="K148" s="44" t="str"/>
      <x:c r="L148" s="44" t="str"/>
      <x:c r="M148" s="44" t="str">
        <x:v>UNDETERMINED - claim-specific profile matrix required</x:v>
      </x:c>
      <x:c r="N148" s="44" t="str">
        <x:v>1.2 WD</x:v>
      </x:c>
      <x:c r="O148" s="44" t="str">
        <x:v>AERA-001-1.2WD-20260807.1</x:v>
      </x:c>
      <x:c r="P148" s="45" t="str">
        <x:v>Authoritative PDF Appendix A; generated from controlled source</x:v>
      </x:c>
    </x:row>
    <x:row r="149" ht="60" customHeight="1">
      <x:c r="A149" s="43" t="str">
        <x:v>AERA-LRN-001</x:v>
      </x:c>
      <x:c r="B149" s="44" t="str">
        <x:v>LRN</x:v>
      </x:c>
      <x:c r="C149" s="44" t="str">
        <x:v>Behavior-changing model, prompt, memory, retrieval, policy, tool, data, orchestration, or equivalent artifacts SHALL be versioned, impact-analyzed, evaluated, approved, observable, and reversible before production authority.</x:v>
      </x:c>
      <x:c r="D149" s="44" t="str">
        <x:v>I, T</x:v>
      </x:c>
      <x:c r="E149" s="44" t="str">
        <x:v>PROPOSED</x:v>
      </x:c>
      <x:c r="F149" s="44" t="str">
        <x:v>1.1 RC1 or earlier - lineage pending</x:v>
      </x:c>
      <x:c r="G149" s="44" t="str"/>
      <x:c r="H149" s="44" t="str"/>
      <x:c r="I149" s="44" t="str"/>
      <x:c r="J149" s="44" t="str"/>
      <x:c r="K149" s="44" t="str"/>
      <x:c r="L149" s="44" t="str"/>
      <x:c r="M149" s="44" t="str">
        <x:v>UNDETERMINED - claim-specific profile matrix required</x:v>
      </x:c>
      <x:c r="N149" s="44" t="str">
        <x:v>1.2 WD</x:v>
      </x:c>
      <x:c r="O149" s="44" t="str">
        <x:v>AERA-001-1.2WD-20260807.1</x:v>
      </x:c>
      <x:c r="P149" s="45" t="str">
        <x:v>Authoritative PDF Appendix A; generated from controlled source</x:v>
      </x:c>
    </x:row>
    <x:row r="150" ht="60" customHeight="1">
      <x:c r="A150" s="43" t="str">
        <x:v>AERA-LRN-002</x:v>
      </x:c>
      <x:c r="B150" s="44" t="str">
        <x:v>LRN</x:v>
      </x:c>
      <x:c r="C150" s="44" t="str">
        <x:v>Learning/planning/adaptation SHALL NOT increase authority, consequence, targets, tools, data rights, validity, or subdelegation except through separate attributable governance and authorization.</x:v>
      </x:c>
      <x:c r="D150" s="44" t="str">
        <x:v>A, T</x:v>
      </x:c>
      <x:c r="E150" s="44" t="str">
        <x:v>PROPOSED</x:v>
      </x:c>
      <x:c r="F150" s="44" t="str">
        <x:v>1.1 RC1 or earlier - lineage pending</x:v>
      </x:c>
      <x:c r="G150" s="44" t="str"/>
      <x:c r="H150" s="44" t="str"/>
      <x:c r="I150" s="44" t="str"/>
      <x:c r="J150" s="44" t="str"/>
      <x:c r="K150" s="44" t="str"/>
      <x:c r="L150" s="44" t="str"/>
      <x:c r="M150" s="44" t="str">
        <x:v>UNDETERMINED - claim-specific profile matrix required</x:v>
      </x:c>
      <x:c r="N150" s="44" t="str">
        <x:v>1.2 WD</x:v>
      </x:c>
      <x:c r="O150" s="44" t="str">
        <x:v>AERA-001-1.2WD-20260807.1</x:v>
      </x:c>
      <x:c r="P150" s="45" t="str">
        <x:v>Authoritative PDF Appendix A; generated from controlled source</x:v>
      </x:c>
    </x:row>
    <x:row r="151" ht="60" customHeight="1">
      <x:c r="A151" s="43" t="str">
        <x:v>AERA-MAT-001</x:v>
      </x:c>
      <x:c r="B151" s="44" t="str">
        <x:v>MAT</x:v>
      </x:c>
      <x:c r="C151" s="44" t="str">
        <x:v>A maturity claim SHALL identify its decision population, consequence scope, dependencies, exclusions and assessment date.</x:v>
      </x:c>
      <x:c r="D151" s="44" t="str">
        <x:v>I, A, T and/or D as consequence requires</x:v>
      </x:c>
      <x:c r="E151" s="44" t="str">
        <x:v>PROPOSED</x:v>
      </x:c>
      <x:c r="F151" s="44" t="str">
        <x:v>1.1 RC1 or earlier - lineage pending</x:v>
      </x:c>
      <x:c r="G151" s="44" t="str"/>
      <x:c r="H151" s="44" t="str"/>
      <x:c r="I151" s="44" t="str"/>
      <x:c r="J151" s="44" t="str"/>
      <x:c r="K151" s="44" t="str"/>
      <x:c r="L151" s="44" t="str"/>
      <x:c r="M151" s="44" t="str">
        <x:v>UNDETERMINED - claim-specific profile matrix required</x:v>
      </x:c>
      <x:c r="N151" s="44" t="str">
        <x:v>1.2 WD</x:v>
      </x:c>
      <x:c r="O151" s="44" t="str">
        <x:v>AERA-001-1.2WD-20260807.1</x:v>
      </x:c>
      <x:c r="P151" s="45" t="str">
        <x:v>Authoritative PDF Appendix A; generated from controlled source</x:v>
      </x:c>
    </x:row>
    <x:row r="152" ht="60" customHeight="1">
      <x:c r="A152" s="43" t="str">
        <x:v>AERA-MAT-002</x:v>
      </x:c>
      <x:c r="B152" s="44" t="str">
        <x:v>MAT</x:v>
      </x:c>
      <x:c r="C152" s="44" t="str">
        <x:v>Assessors SHALL score demonstrated operating behavior rather than planned or purchased capability.</x:v>
      </x:c>
      <x:c r="D152" s="44" t="str">
        <x:v>I, A, T and/or D as consequence requires</x:v>
      </x:c>
      <x:c r="E152" s="44" t="str">
        <x:v>PROPOSED</x:v>
      </x:c>
      <x:c r="F152" s="44" t="str">
        <x:v>1.1 RC1 or earlier - lineage pending</x:v>
      </x:c>
      <x:c r="G152" s="44" t="str"/>
      <x:c r="H152" s="44" t="str"/>
      <x:c r="I152" s="44" t="str"/>
      <x:c r="J152" s="44" t="str"/>
      <x:c r="K152" s="44" t="str"/>
      <x:c r="L152" s="44" t="str"/>
      <x:c r="M152" s="44" t="str">
        <x:v>UNDETERMINED - claim-specific profile matrix required</x:v>
      </x:c>
      <x:c r="N152" s="44" t="str">
        <x:v>1.2 WD</x:v>
      </x:c>
      <x:c r="O152" s="44" t="str">
        <x:v>AERA-001-1.2WD-20260807.1</x:v>
      </x:c>
      <x:c r="P152" s="45" t="str">
        <x:v>Authoritative PDF Appendix A; generated from controlled source</x:v>
      </x:c>
    </x:row>
    <x:row r="153" ht="60" customHeight="1">
      <x:c r="A153" s="43" t="str">
        <x:v>AERA-MAT-003</x:v>
      </x:c>
      <x:c r="B153" s="44" t="str">
        <x:v>MAT</x:v>
      </x:c>
      <x:c r="C153" s="44" t="str">
        <x:v>The reported level SHALL NOT exceed the lowest evidenced level among consequence-material dimensions.</x:v>
      </x:c>
      <x:c r="D153" s="44" t="str">
        <x:v>I, A, T and/or D as consequence requires</x:v>
      </x:c>
      <x:c r="E153" s="44" t="str">
        <x:v>PROPOSED</x:v>
      </x:c>
      <x:c r="F153" s="44" t="str">
        <x:v>1.1 RC1 or earlier - lineage pending</x:v>
      </x:c>
      <x:c r="G153" s="44" t="str"/>
      <x:c r="H153" s="44" t="str"/>
      <x:c r="I153" s="44" t="str"/>
      <x:c r="J153" s="44" t="str"/>
      <x:c r="K153" s="44" t="str"/>
      <x:c r="L153" s="44" t="str"/>
      <x:c r="M153" s="44" t="str">
        <x:v>UNDETERMINED - claim-specific profile matrix required</x:v>
      </x:c>
      <x:c r="N153" s="44" t="str">
        <x:v>1.2 WD</x:v>
      </x:c>
      <x:c r="O153" s="44" t="str">
        <x:v>AERA-001-1.2WD-20260807.1</x:v>
      </x:c>
      <x:c r="P153" s="45" t="str">
        <x:v>Authoritative PDF Appendix A; generated from controlled source</x:v>
      </x:c>
    </x:row>
    <x:row r="154" ht="60" customHeight="1">
      <x:c r="A154" s="43" t="str">
        <x:v>AERA-MAT-004</x:v>
      </x:c>
      <x:c r="B154" s="44" t="str">
        <x:v>MAT</x:v>
      </x:c>
      <x:c r="C154" s="44" t="str">
        <x:v>Level 3 SHALL require tested-effective evidence for every consequence-material control.</x:v>
      </x:c>
      <x:c r="D154" s="44" t="str">
        <x:v>I, A, T and/or D as consequence requires</x:v>
      </x:c>
      <x:c r="E154" s="44" t="str">
        <x:v>PROPOSED</x:v>
      </x:c>
      <x:c r="F154" s="44" t="str">
        <x:v>1.1 RC1 or earlier - lineage pending</x:v>
      </x:c>
      <x:c r="G154" s="44" t="str"/>
      <x:c r="H154" s="44" t="str"/>
      <x:c r="I154" s="44" t="str"/>
      <x:c r="J154" s="44" t="str"/>
      <x:c r="K154" s="44" t="str"/>
      <x:c r="L154" s="44" t="str"/>
      <x:c r="M154" s="44" t="str">
        <x:v>UNDETERMINED - claim-specific profile matrix required</x:v>
      </x:c>
      <x:c r="N154" s="44" t="str">
        <x:v>1.2 WD</x:v>
      </x:c>
      <x:c r="O154" s="44" t="str">
        <x:v>AERA-001-1.2WD-20260807.1</x:v>
      </x:c>
      <x:c r="P154" s="45" t="str">
        <x:v>Authoritative PDF Appendix A; generated from controlled source</x:v>
      </x:c>
    </x:row>
    <x:row r="155" ht="60" customHeight="1">
      <x:c r="A155" s="43" t="str">
        <x:v>AERA-MAT-005</x:v>
      </x:c>
      <x:c r="B155" s="44" t="str">
        <x:v>MAT</x:v>
      </x:c>
      <x:c r="C155" s="44" t="str">
        <x:v>Levels 4 and 5 SHALL require sustained-effective evidence for the operating behavior claimed.</x:v>
      </x:c>
      <x:c r="D155" s="44" t="str">
        <x:v>I, A, T and/or D as consequence requires</x:v>
      </x:c>
      <x:c r="E155" s="44" t="str">
        <x:v>PROPOSED</x:v>
      </x:c>
      <x:c r="F155" s="44" t="str">
        <x:v>1.1 RC1 or earlier - lineage pending</x:v>
      </x:c>
      <x:c r="G155" s="44" t="str"/>
      <x:c r="H155" s="44" t="str"/>
      <x:c r="I155" s="44" t="str"/>
      <x:c r="J155" s="44" t="str"/>
      <x:c r="K155" s="44" t="str"/>
      <x:c r="L155" s="44" t="str"/>
      <x:c r="M155" s="44" t="str">
        <x:v>UNDETERMINED - claim-specific profile matrix required</x:v>
      </x:c>
      <x:c r="N155" s="44" t="str">
        <x:v>1.2 WD</x:v>
      </x:c>
      <x:c r="O155" s="44" t="str">
        <x:v>AERA-001-1.2WD-20260807.1</x:v>
      </x:c>
      <x:c r="P155" s="45" t="str">
        <x:v>Authoritative PDF Appendix A; generated from controlled source</x:v>
      </x:c>
    </x:row>
    <x:row r="156" ht="60" customHeight="1">
      <x:c r="A156" s="43" t="str">
        <x:v>AERA-MAT-006</x:v>
      </x:c>
      <x:c r="B156" s="44" t="str">
        <x:v>MAT</x:v>
      </x:c>
      <x:c r="C156" s="44" t="str">
        <x:v>Adverse results, workarounds, overrides and unresolved anomalies SHALL remain in the evidence package.</x:v>
      </x:c>
      <x:c r="D156" s="44" t="str">
        <x:v>I, A, T and/or D as consequence requires</x:v>
      </x:c>
      <x:c r="E156" s="44" t="str">
        <x:v>PROPOSED</x:v>
      </x:c>
      <x:c r="F156" s="44" t="str">
        <x:v>1.1 RC1 or earlier - lineage pending</x:v>
      </x:c>
      <x:c r="G156" s="44" t="str"/>
      <x:c r="H156" s="44" t="str"/>
      <x:c r="I156" s="44" t="str"/>
      <x:c r="J156" s="44" t="str"/>
      <x:c r="K156" s="44" t="str"/>
      <x:c r="L156" s="44" t="str"/>
      <x:c r="M156" s="44" t="str">
        <x:v>UNDETERMINED - claim-specific profile matrix required</x:v>
      </x:c>
      <x:c r="N156" s="44" t="str">
        <x:v>1.2 WD</x:v>
      </x:c>
      <x:c r="O156" s="44" t="str">
        <x:v>AERA-001-1.2WD-20260807.1</x:v>
      </x:c>
      <x:c r="P156" s="45" t="str">
        <x:v>Authoritative PDF Appendix A; generated from controlled source</x:v>
      </x:c>
    </x:row>
    <x:row r="157" ht="60" customHeight="1">
      <x:c r="A157" s="43" t="str">
        <x:v>AERA-MAT-007</x:v>
      </x:c>
      <x:c r="B157" s="44" t="str">
        <x:v>MAT</x:v>
      </x:c>
      <x:c r="C157" s="44" t="str">
        <x:v>Promotion thresholds SHALL be declared before formal assessment.</x:v>
      </x:c>
      <x:c r="D157" s="44" t="str">
        <x:v>I, A, T and/or D as consequence requires</x:v>
      </x:c>
      <x:c r="E157" s="44" t="str">
        <x:v>PROPOSED</x:v>
      </x:c>
      <x:c r="F157" s="44" t="str">
        <x:v>1.1 RC1 or earlier - lineage pending</x:v>
      </x:c>
      <x:c r="G157" s="44" t="str"/>
      <x:c r="H157" s="44" t="str"/>
      <x:c r="I157" s="44" t="str"/>
      <x:c r="J157" s="44" t="str"/>
      <x:c r="K157" s="44" t="str"/>
      <x:c r="L157" s="44" t="str"/>
      <x:c r="M157" s="44" t="str">
        <x:v>UNDETERMINED - claim-specific profile matrix required</x:v>
      </x:c>
      <x:c r="N157" s="44" t="str">
        <x:v>1.2 WD</x:v>
      </x:c>
      <x:c r="O157" s="44" t="str">
        <x:v>AERA-001-1.2WD-20260807.1</x:v>
      </x:c>
      <x:c r="P157" s="45" t="str">
        <x:v>Authoritative PDF Appendix A; generated from controlled source</x:v>
      </x:c>
    </x:row>
    <x:row r="158" ht="60" customHeight="1">
      <x:c r="A158" s="43" t="str">
        <x:v>AERA-MAT-008</x:v>
      </x:c>
      <x:c r="B158" s="44" t="str">
        <x:v>MAT</x:v>
      </x:c>
      <x:c r="C158" s="44" t="str">
        <x:v>Material change SHALL trigger impact analysis and reassessment of affected dimension scores.</x:v>
      </x:c>
      <x:c r="D158" s="44" t="str">
        <x:v>I, A, T and/or D as consequence requires</x:v>
      </x:c>
      <x:c r="E158" s="44" t="str">
        <x:v>PROPOSED</x:v>
      </x:c>
      <x:c r="F158" s="44" t="str">
        <x:v>1.1 RC1 or earlier - lineage pending</x:v>
      </x:c>
      <x:c r="G158" s="44" t="str"/>
      <x:c r="H158" s="44" t="str"/>
      <x:c r="I158" s="44" t="str"/>
      <x:c r="J158" s="44" t="str"/>
      <x:c r="K158" s="44" t="str"/>
      <x:c r="L158" s="44" t="str"/>
      <x:c r="M158" s="44" t="str">
        <x:v>UNDETERMINED - claim-specific profile matrix required</x:v>
      </x:c>
      <x:c r="N158" s="44" t="str">
        <x:v>1.2 WD</x:v>
      </x:c>
      <x:c r="O158" s="44" t="str">
        <x:v>AERA-001-1.2WD-20260807.1</x:v>
      </x:c>
      <x:c r="P158" s="45" t="str">
        <x:v>Authoritative PDF Appendix A; generated from controlled source</x:v>
      </x:c>
    </x:row>
    <x:row r="159" ht="60" customHeight="1">
      <x:c r="A159" s="43" t="str">
        <x:v>AERA-MAT-009</x:v>
      </x:c>
      <x:c r="B159" s="44" t="str">
        <x:v>MAT</x:v>
      </x:c>
      <x:c r="C159" s="44" t="str">
        <x:v>A SUSTAINED EFFECTIVE evidence claim SHALL identify the minimum observation interval, operating exposure, event and consequence coverage, change history, adverse results, and rationale for representativeness before assessment begins.</x:v>
      </x:c>
      <x:c r="D159" s="44" t="str">
        <x:v>I, A</x:v>
      </x:c>
      <x:c r="E159" s="44" t="str">
        <x:v>PROPOSED</x:v>
      </x:c>
      <x:c r="F159" s="44" t="str">
        <x:v>1.1 RC1 or earlier - lineage pending</x:v>
      </x:c>
      <x:c r="G159" s="44" t="str"/>
      <x:c r="H159" s="44" t="str"/>
      <x:c r="I159" s="44" t="str"/>
      <x:c r="J159" s="44" t="str"/>
      <x:c r="K159" s="44" t="str"/>
      <x:c r="L159" s="44" t="str"/>
      <x:c r="M159" s="44" t="str">
        <x:v>UNDETERMINED - claim-specific profile matrix required</x:v>
      </x:c>
      <x:c r="N159" s="44" t="str">
        <x:v>1.2 WD</x:v>
      </x:c>
      <x:c r="O159" s="44" t="str">
        <x:v>AERA-001-1.2WD-20260807.1</x:v>
      </x:c>
      <x:c r="P159" s="45" t="str">
        <x:v>Authoritative PDF Appendix A; generated from controlled source</x:v>
      </x:c>
    </x:row>
    <x:row r="160" ht="60" customHeight="1">
      <x:c r="A160" s="43" t="str">
        <x:v>AERA-PNT-001</x:v>
      </x:c>
      <x:c r="B160" s="44" t="str">
        <x:v>PNT</x:v>
      </x:c>
      <x:c r="C160" s="44" t="str">
        <x:v>Each decision-relevant time or position claim SHALL identify its contributing sources, distribution or derivation path, reference time scale or coordinate frame as applicable, observation time, uncertainty, integrity state, required traceability, valid interval, and degraded-state behavior.</x:v>
      </x:c>
      <x:c r="D160" s="44" t="str">
        <x:v>I, A, T</x:v>
      </x:c>
      <x:c r="E160" s="44" t="str">
        <x:v>PROPOSED</x:v>
      </x:c>
      <x:c r="F160" s="44" t="str">
        <x:v>1.1 RC1 or earlier - lineage pending</x:v>
      </x:c>
      <x:c r="G160" s="44" t="str"/>
      <x:c r="H160" s="44" t="str"/>
      <x:c r="I160" s="44" t="str"/>
      <x:c r="J160" s="44" t="str"/>
      <x:c r="K160" s="44" t="str"/>
      <x:c r="L160" s="44" t="str"/>
      <x:c r="M160" s="44" t="str">
        <x:v>UNDETERMINED - claim-specific profile matrix required</x:v>
      </x:c>
      <x:c r="N160" s="44" t="str">
        <x:v>1.2 WD</x:v>
      </x:c>
      <x:c r="O160" s="44" t="str">
        <x:v>AERA-001-1.2WD-20260807.1</x:v>
      </x:c>
      <x:c r="P160" s="45" t="str">
        <x:v>Authoritative PDF Appendix A; generated from controlled source</x:v>
      </x:c>
    </x:row>
    <x:row r="161" ht="60" customHeight="1">
      <x:c r="A161" s="43" t="str">
        <x:v>AERA-PNT-002</x:v>
      </x:c>
      <x:c r="B161" s="44" t="str">
        <x:v>PNT</x:v>
      </x:c>
      <x:c r="C161" s="44" t="str">
        <x:v>PNT reporting and decision logic SHALL distinguish PRESENT, MONITORED, ACCEPTED, and USED IN SOLUTION for each source and SHALL NOT treat those states as interchangeable.</x:v>
      </x:c>
      <x:c r="D161" s="44" t="str">
        <x:v>I, T</x:v>
      </x:c>
      <x:c r="E161" s="44" t="str">
        <x:v>PROPOSED</x:v>
      </x:c>
      <x:c r="F161" s="44" t="str">
        <x:v>1.1 RC1 or earlier - lineage pending</x:v>
      </x:c>
      <x:c r="G161" s="44" t="str"/>
      <x:c r="H161" s="44" t="str"/>
      <x:c r="I161" s="44" t="str"/>
      <x:c r="J161" s="44" t="str"/>
      <x:c r="K161" s="44" t="str"/>
      <x:c r="L161" s="44" t="str"/>
      <x:c r="M161" s="44" t="str">
        <x:v>UNDETERMINED - claim-specific profile matrix required</x:v>
      </x:c>
      <x:c r="N161" s="44" t="str">
        <x:v>1.2 WD</x:v>
      </x:c>
      <x:c r="O161" s="44" t="str">
        <x:v>AERA-001-1.2WD-20260807.1</x:v>
      </x:c>
      <x:c r="P161" s="45" t="str">
        <x:v>Authoritative PDF Appendix A; generated from controlled source</x:v>
      </x:c>
    </x:row>
    <x:row r="162" ht="60" customHeight="1">
      <x:c r="A162" s="43" t="str">
        <x:v>AERA-PNT-003</x:v>
      </x:c>
      <x:c r="B162" s="44" t="str">
        <x:v>PNT</x:v>
      </x:c>
      <x:c r="C162" s="44" t="str">
        <x:v>Each decision contract that depends on time, order, freshness, synchronization, or position SHALL define and enforce bounds for evidence age, event order, time or position uncertainty, authority and policy expiration tolerance, holdover, and behavior when any bound is exceeded.</x:v>
      </x:c>
      <x:c r="D162" s="44" t="str">
        <x:v>I, A, T</x:v>
      </x:c>
      <x:c r="E162" s="44" t="str">
        <x:v>PROPOSED</x:v>
      </x:c>
      <x:c r="F162" s="44" t="str">
        <x:v>1.1 RC1 or earlier - lineage pending</x:v>
      </x:c>
      <x:c r="G162" s="44" t="str"/>
      <x:c r="H162" s="44" t="str"/>
      <x:c r="I162" s="44" t="str"/>
      <x:c r="J162" s="44" t="str"/>
      <x:c r="K162" s="44" t="str"/>
      <x:c r="L162" s="44" t="str"/>
      <x:c r="M162" s="44" t="str">
        <x:v>UNDETERMINED - claim-specific profile matrix required</x:v>
      </x:c>
      <x:c r="N162" s="44" t="str">
        <x:v>1.2 WD</x:v>
      </x:c>
      <x:c r="O162" s="44" t="str">
        <x:v>AERA-001-1.2WD-20260807.1</x:v>
      </x:c>
      <x:c r="P162" s="45" t="str">
        <x:v>Authoritative PDF Appendix A; generated from controlled source</x:v>
      </x:c>
    </x:row>
    <x:row r="163" ht="60" customHeight="1">
      <x:c r="A163" s="43" t="str">
        <x:v>AERA-PNT-004</x:v>
      </x:c>
      <x:c r="B163" s="44" t="str">
        <x:v>PNT</x:v>
      </x:c>
      <x:c r="C163" s="44" t="str">
        <x:v>High-consequence PNT-dependent classes SHALL analyze/test common-mode failures and define acceptable alternate, holdover, local, or no-service state.</x:v>
      </x:c>
      <x:c r="D163" s="44" t="str">
        <x:v>A, T</x:v>
      </x:c>
      <x:c r="E163" s="44" t="str">
        <x:v>PROPOSED</x:v>
      </x:c>
      <x:c r="F163" s="44" t="str">
        <x:v>1.1 RC1 or earlier - lineage pending</x:v>
      </x:c>
      <x:c r="G163" s="44" t="str"/>
      <x:c r="H163" s="44" t="str"/>
      <x:c r="I163" s="44" t="str"/>
      <x:c r="J163" s="44" t="str"/>
      <x:c r="K163" s="44" t="str"/>
      <x:c r="L163" s="44" t="str"/>
      <x:c r="M163" s="44" t="str">
        <x:v>UNDETERMINED - claim-specific profile matrix required</x:v>
      </x:c>
      <x:c r="N163" s="44" t="str">
        <x:v>1.2 WD</x:v>
      </x:c>
      <x:c r="O163" s="44" t="str">
        <x:v>AERA-001-1.2WD-20260807.1</x:v>
      </x:c>
      <x:c r="P163" s="45" t="str">
        <x:v>Authoritative PDF Appendix A; generated from controlled source</x:v>
      </x:c>
    </x:row>
    <x:row r="164" ht="60" customHeight="1">
      <x:c r="A164" s="43" t="str">
        <x:v>AERA-PR-001</x:v>
      </x:c>
      <x:c r="B164" s="44" t="str">
        <x:v>PR</x:v>
      </x:c>
      <x:c r="C164" s="44" t="str">
        <x:v>For each autonomous decision class, the organization SHALL designate an accountable human or governing body that retains responsibility for mission legitimacy, delegated authority, residual-risk acceptance, suspension, and reassessment.</x:v>
      </x:c>
      <x:c r="D164" s="44" t="str">
        <x:v>I, D</x:v>
      </x:c>
      <x:c r="E164" s="44" t="str">
        <x:v>PROPOSED</x:v>
      </x:c>
      <x:c r="F164" s="44" t="str">
        <x:v>1.1 RC1 or earlier - lineage pending</x:v>
      </x:c>
      <x:c r="G164" s="44" t="str"/>
      <x:c r="H164" s="44" t="str"/>
      <x:c r="I164" s="44" t="str"/>
      <x:c r="J164" s="44" t="str"/>
      <x:c r="K164" s="44" t="str"/>
      <x:c r="L164" s="44" t="str"/>
      <x:c r="M164" s="44" t="str">
        <x:v>UNDETERMINED - claim-specific profile matrix required</x:v>
      </x:c>
      <x:c r="N164" s="44" t="str">
        <x:v>1.2 WD</x:v>
      </x:c>
      <x:c r="O164" s="44" t="str">
        <x:v>AERA-001-1.2WD-20260807.1</x:v>
      </x:c>
      <x:c r="P164" s="45" t="str">
        <x:v>Authoritative PDF Appendix A; generated from controlled source</x:v>
      </x:c>
    </x:row>
    <x:row r="165" ht="60" customHeight="1">
      <x:c r="A165" s="43" t="str">
        <x:v>AERA-PR-002</x:v>
      </x:c>
      <x:c r="B165" s="44" t="str">
        <x:v>PR</x:v>
      </x:c>
      <x:c r="C165" s="44" t="str">
        <x:v>An autonomous actor SHALL exercise only decision rights contained in a current, attributable, revocable delegation whose scope includes the actor, action, target, purpose, context, consequence ceiling, and validity interval.</x:v>
      </x:c>
      <x:c r="D165" s="44" t="str">
        <x:v>I, T</x:v>
      </x:c>
      <x:c r="E165" s="44" t="str">
        <x:v>PROPOSED</x:v>
      </x:c>
      <x:c r="F165" s="44" t="str">
        <x:v>1.1 RC1 or earlier - lineage pending</x:v>
      </x:c>
      <x:c r="G165" s="44" t="str"/>
      <x:c r="H165" s="44" t="str"/>
      <x:c r="I165" s="44" t="str"/>
      <x:c r="J165" s="44" t="str"/>
      <x:c r="K165" s="44" t="str"/>
      <x:c r="L165" s="44" t="str"/>
      <x:c r="M165" s="44" t="str">
        <x:v>UNDETERMINED - claim-specific profile matrix required</x:v>
      </x:c>
      <x:c r="N165" s="44" t="str">
        <x:v>1.2 WD</x:v>
      </x:c>
      <x:c r="O165" s="44" t="str">
        <x:v>AERA-001-1.2WD-20260807.1</x:v>
      </x:c>
      <x:c r="P165" s="45" t="str">
        <x:v>Authoritative PDF Appendix A; generated from controlled source</x:v>
      </x:c>
    </x:row>
    <x:row r="166" ht="60" customHeight="1">
      <x:c r="A166" s="43" t="str">
        <x:v>AERA-PR-003</x:v>
      </x:c>
      <x:c r="B166" s="44" t="str">
        <x:v>PR</x:v>
      </x:c>
      <x:c r="C166" s="44" t="str">
        <x:v>A model output SHALL NOT authorize a material effect unless the applicable authority, evidence, policy, consequence, temporal-validity, and recovery predicates are satisfied and an enforcement point accepts a current authorization artifact bound to the transaction.</x:v>
      </x:c>
      <x:c r="D166" s="44" t="str">
        <x:v>A, T</x:v>
      </x:c>
      <x:c r="E166" s="44" t="str">
        <x:v>PROPOSED</x:v>
      </x:c>
      <x:c r="F166" s="44" t="str">
        <x:v>1.1 RC1 or earlier - lineage pending</x:v>
      </x:c>
      <x:c r="G166" s="44" t="str"/>
      <x:c r="H166" s="44" t="str"/>
      <x:c r="I166" s="44" t="str"/>
      <x:c r="J166" s="44" t="str"/>
      <x:c r="K166" s="44" t="str"/>
      <x:c r="L166" s="44" t="str"/>
      <x:c r="M166" s="44" t="str">
        <x:v>UNDETERMINED - claim-specific profile matrix required</x:v>
      </x:c>
      <x:c r="N166" s="44" t="str">
        <x:v>1.2 WD</x:v>
      </x:c>
      <x:c r="O166" s="44" t="str">
        <x:v>AERA-001-1.2WD-20260807.1</x:v>
      </x:c>
      <x:c r="P166" s="45" t="str">
        <x:v>Authoritative PDF Appendix A; generated from controlled source</x:v>
      </x:c>
    </x:row>
    <x:row r="167" ht="60" customHeight="1">
      <x:c r="A167" s="43" t="str">
        <x:v>AERA-PR-004</x:v>
      </x:c>
      <x:c r="B167" s="44" t="str">
        <x:v>PR</x:v>
      </x:c>
      <x:c r="C167" s="44" t="str">
        <x:v>If an optimization objective conflicts with current operational intent, law, policy, or an applicable prohibition, the implementation SHALL apply the declared precedence rules; unresolved conflict SHALL produce a non-permit disposition.</x:v>
      </x:c>
      <x:c r="D167" s="44" t="str">
        <x:v>I, T</x:v>
      </x:c>
      <x:c r="E167" s="44" t="str">
        <x:v>PROPOSED</x:v>
      </x:c>
      <x:c r="F167" s="44" t="str">
        <x:v>1.1 RC1 or earlier - lineage pending</x:v>
      </x:c>
      <x:c r="G167" s="44" t="str"/>
      <x:c r="H167" s="44" t="str"/>
      <x:c r="I167" s="44" t="str"/>
      <x:c r="J167" s="44" t="str"/>
      <x:c r="K167" s="44" t="str"/>
      <x:c r="L167" s="44" t="str"/>
      <x:c r="M167" s="44" t="str">
        <x:v>UNDETERMINED - claim-specific profile matrix required</x:v>
      </x:c>
      <x:c r="N167" s="44" t="str">
        <x:v>1.2 WD</x:v>
      </x:c>
      <x:c r="O167" s="44" t="str">
        <x:v>AERA-001-1.2WD-20260807.1</x:v>
      </x:c>
      <x:c r="P167" s="45" t="str">
        <x:v>Authoritative PDF Appendix A; generated from controlled source</x:v>
      </x:c>
    </x:row>
    <x:row r="168" ht="60" customHeight="1">
      <x:c r="A168" s="43" t="str">
        <x:v>AERA-PR-005</x:v>
      </x:c>
      <x:c r="B168" s="44" t="str">
        <x:v>PR</x:v>
      </x:c>
      <x:c r="C168" s="44" t="str">
        <x:v>Each AERA layer and decision-relevant interface SHALL identify the identity, authorization, evidence-integrity, communications-security, resilience, logging, and recovery properties that it provides, requires, and verifies; allocation of a property to one layer SHALL NOT imply that another layer inherits it without validation.</x:v>
      </x:c>
      <x:c r="D168" s="44" t="str">
        <x:v>I, A</x:v>
      </x:c>
      <x:c r="E168" s="44" t="str">
        <x:v>PROPOSED</x:v>
      </x:c>
      <x:c r="F168" s="44" t="str">
        <x:v>1.1 RC1 or earlier - lineage pending</x:v>
      </x:c>
      <x:c r="G168" s="44" t="str"/>
      <x:c r="H168" s="44" t="str"/>
      <x:c r="I168" s="44" t="str"/>
      <x:c r="J168" s="44" t="str"/>
      <x:c r="K168" s="44" t="str"/>
      <x:c r="L168" s="44" t="str"/>
      <x:c r="M168" s="44" t="str">
        <x:v>UNDETERMINED - claim-specific profile matrix required</x:v>
      </x:c>
      <x:c r="N168" s="44" t="str">
        <x:v>1.2 WD</x:v>
      </x:c>
      <x:c r="O168" s="44" t="str">
        <x:v>AERA-001-1.2WD-20260807.1</x:v>
      </x:c>
      <x:c r="P168" s="45" t="str">
        <x:v>Authoritative PDF Appendix A; generated from controlled source</x:v>
      </x:c>
    </x:row>
    <x:row r="169" ht="60" customHeight="1">
      <x:c r="A169" s="43" t="str">
        <x:v>AERA-PR-006</x:v>
      </x:c>
      <x:c r="B169" s="44" t="str">
        <x:v>PR</x:v>
      </x:c>
      <x:c r="C169" s="44" t="str">
        <x:v>The DAF SHALL re-evaluate affected assurance claims before further effect whenever a policy-defined material change occurs in evidence, context, threat state, actor or system state, temporal state, or recovery readiness.</x:v>
      </x:c>
      <x:c r="D169" s="44" t="str">
        <x:v>I, T</x:v>
      </x:c>
      <x:c r="E169" s="44" t="str">
        <x:v>PROPOSED</x:v>
      </x:c>
      <x:c r="F169" s="44" t="str">
        <x:v>1.1 RC1 or earlier - lineage pending</x:v>
      </x:c>
      <x:c r="G169" s="44" t="str"/>
      <x:c r="H169" s="44" t="str"/>
      <x:c r="I169" s="44" t="str"/>
      <x:c r="J169" s="44" t="str"/>
      <x:c r="K169" s="44" t="str"/>
      <x:c r="L169" s="44" t="str"/>
      <x:c r="M169" s="44" t="str">
        <x:v>UNDETERMINED - claim-specific profile matrix required</x:v>
      </x:c>
      <x:c r="N169" s="44" t="str">
        <x:v>1.2 WD</x:v>
      </x:c>
      <x:c r="O169" s="44" t="str">
        <x:v>AERA-001-1.2WD-20260807.1</x:v>
      </x:c>
      <x:c r="P169" s="45" t="str">
        <x:v>Authoritative PDF Appendix A; generated from controlled source</x:v>
      </x:c>
    </x:row>
    <x:row r="170" ht="60" customHeight="1">
      <x:c r="A170" s="43" t="str">
        <x:v>AERA-PR-007</x:v>
      </x:c>
      <x:c r="B170" s="44" t="str">
        <x:v>PR</x:v>
      </x:c>
      <x:c r="C170" s="44" t="str">
        <x:v>Before authorizing a proposal that can exceed a validated recovery envelope, the accountable authority SHALL either prohibit the proposal or approve a consequence-specific control set that includes narrower enforceable bounds, additional independent prevention or inhibition, effect observation, and explicit residual-risk acceptance.</x:v>
      </x:c>
      <x:c r="D170" s="44" t="str">
        <x:v>I, A, T</x:v>
      </x:c>
      <x:c r="E170" s="44" t="str">
        <x:v>PROPOSED</x:v>
      </x:c>
      <x:c r="F170" s="44" t="str">
        <x:v>1.1 RC1 or earlier - lineage pending</x:v>
      </x:c>
      <x:c r="G170" s="44" t="str"/>
      <x:c r="H170" s="44" t="str"/>
      <x:c r="I170" s="44" t="str"/>
      <x:c r="J170" s="44" t="str"/>
      <x:c r="K170" s="44" t="str"/>
      <x:c r="L170" s="44" t="str"/>
      <x:c r="M170" s="44" t="str">
        <x:v>UNDETERMINED - claim-specific profile matrix required</x:v>
      </x:c>
      <x:c r="N170" s="44" t="str">
        <x:v>1.2 WD</x:v>
      </x:c>
      <x:c r="O170" s="44" t="str">
        <x:v>AERA-001-1.2WD-20260807.1</x:v>
      </x:c>
      <x:c r="P170" s="45" t="str">
        <x:v>Authoritative PDF Appendix A; generated from controlled source</x:v>
      </x:c>
    </x:row>
    <x:row r="171" ht="60" customHeight="1">
      <x:c r="A171" s="43" t="str">
        <x:v>AERA-PR-008</x:v>
      </x:c>
      <x:c r="B171" s="44" t="str">
        <x:v>PR</x:v>
      </x:c>
      <x:c r="C171" s="44" t="str">
        <x:v>Before a behavior-changing model, prompt, memory, retrieval source, policy, data set, tool, dependency, threshold, or orchestration artifact is used under production authority, the organization SHALL version and provenance-bind the artifact, analyze its impact, test and approve it, make its use observable, and provide a tested rollback or safe-replacement path.</x:v>
      </x:c>
      <x:c r="D171" s="44" t="str">
        <x:v>I, T, D</x:v>
      </x:c>
      <x:c r="E171" s="44" t="str">
        <x:v>PROPOSED</x:v>
      </x:c>
      <x:c r="F171" s="44" t="str">
        <x:v>1.1 RC1 or earlier - lineage pending</x:v>
      </x:c>
      <x:c r="G171" s="44" t="str"/>
      <x:c r="H171" s="44" t="str"/>
      <x:c r="I171" s="44" t="str"/>
      <x:c r="J171" s="44" t="str"/>
      <x:c r="K171" s="44" t="str"/>
      <x:c r="L171" s="44" t="str"/>
      <x:c r="M171" s="44" t="str">
        <x:v>UNDETERMINED - claim-specific profile matrix required</x:v>
      </x:c>
      <x:c r="N171" s="44" t="str">
        <x:v>1.2 WD</x:v>
      </x:c>
      <x:c r="O171" s="44" t="str">
        <x:v>AERA-001-1.2WD-20260807.1</x:v>
      </x:c>
      <x:c r="P171" s="45" t="str">
        <x:v>Authoritative PDF Appendix A; generated from controlled source</x:v>
      </x:c>
    </x:row>
    <x:row r="172" ht="60" customHeight="1">
      <x:c r="A172" s="43" t="str">
        <x:v>AERA-PR-009</x:v>
      </x:c>
      <x:c r="B172" s="44" t="str">
        <x:v>PR</x:v>
      </x:c>
      <x:c r="C172" s="44" t="str">
        <x:v>Each decision contract SHALL specify and enforce maximum evidence age, event-order and synchronization tolerances, time or position uncertainty bounds as applicable, and the disposition to use when a temporal bound is exceeded.</x:v>
      </x:c>
      <x:c r="D172" s="44" t="str">
        <x:v>I, A, T</x:v>
      </x:c>
      <x:c r="E172" s="44" t="str">
        <x:v>PROPOSED</x:v>
      </x:c>
      <x:c r="F172" s="44" t="str">
        <x:v>1.1 RC1 or earlier - lineage pending</x:v>
      </x:c>
      <x:c r="G172" s="44" t="str"/>
      <x:c r="H172" s="44" t="str"/>
      <x:c r="I172" s="44" t="str"/>
      <x:c r="J172" s="44" t="str"/>
      <x:c r="K172" s="44" t="str"/>
      <x:c r="L172" s="44" t="str"/>
      <x:c r="M172" s="44" t="str">
        <x:v>UNDETERMINED - claim-specific profile matrix required</x:v>
      </x:c>
      <x:c r="N172" s="44" t="str">
        <x:v>1.2 WD</x:v>
      </x:c>
      <x:c r="O172" s="44" t="str">
        <x:v>AERA-001-1.2WD-20260807.1</x:v>
      </x:c>
      <x:c r="P172" s="45" t="str">
        <x:v>Authoritative PDF Appendix A; generated from controlled source</x:v>
      </x:c>
    </x:row>
    <x:row r="173" ht="60" customHeight="1">
      <x:c r="A173" s="43" t="str">
        <x:v>AERA-PR-010</x:v>
      </x:c>
      <x:c r="B173" s="44" t="str">
        <x:v>PR</x:v>
      </x:c>
      <x:c r="C173" s="44" t="str">
        <x:v>The minimum control floor for a decision class SHALL be selected from its worst credible consequence and SHALL NOT be reduced on the basis of model type, implementation brand, vendor assertion, or claimed technical sophistication.</x:v>
      </x:c>
      <x:c r="D173" s="44" t="str">
        <x:v>I, A</x:v>
      </x:c>
      <x:c r="E173" s="44" t="str">
        <x:v>PROPOSED</x:v>
      </x:c>
      <x:c r="F173" s="44" t="str">
        <x:v>1.1 RC1 or earlier - lineage pending</x:v>
      </x:c>
      <x:c r="G173" s="44" t="str"/>
      <x:c r="H173" s="44" t="str"/>
      <x:c r="I173" s="44" t="str"/>
      <x:c r="J173" s="44" t="str"/>
      <x:c r="K173" s="44" t="str"/>
      <x:c r="L173" s="44" t="str"/>
      <x:c r="M173" s="44" t="str">
        <x:v>UNDETERMINED - claim-specific profile matrix required</x:v>
      </x:c>
      <x:c r="N173" s="44" t="str">
        <x:v>1.2 WD</x:v>
      </x:c>
      <x:c r="O173" s="44" t="str">
        <x:v>AERA-001-1.2WD-20260807.1</x:v>
      </x:c>
      <x:c r="P173" s="45" t="str">
        <x:v>Authoritative PDF Appendix A; generated from controlled source</x:v>
      </x:c>
    </x:row>
    <x:row r="174" ht="60" customHeight="1">
      <x:c r="A174" s="43" t="str">
        <x:v>AERA-PR-011</x:v>
      </x:c>
      <x:c r="B174" s="44" t="str">
        <x:v>PR</x:v>
      </x:c>
      <x:c r="C174" s="44" t="str">
        <x:v>For each CC-3 or CC-4 decision class, evidence or controls relied upon as independent SHALL have documented source, method, controller, administration, provider, software, network, power, supply-chain, and time-reference failure domains; correlated items SHALL NOT be counted as independent without an approved rationale and compensating controls.</x:v>
      </x:c>
      <x:c r="D174" s="44" t="str">
        <x:v>I, A, T</x:v>
      </x:c>
      <x:c r="E174" s="44" t="str">
        <x:v>PROPOSED</x:v>
      </x:c>
      <x:c r="F174" s="44" t="str">
        <x:v>1.1 RC1 or earlier - lineage pending</x:v>
      </x:c>
      <x:c r="G174" s="44" t="str"/>
      <x:c r="H174" s="44" t="str"/>
      <x:c r="I174" s="44" t="str"/>
      <x:c r="J174" s="44" t="str"/>
      <x:c r="K174" s="44" t="str"/>
      <x:c r="L174" s="44" t="str"/>
      <x:c r="M174" s="44" t="str">
        <x:v>UNDETERMINED - claim-specific profile matrix required</x:v>
      </x:c>
      <x:c r="N174" s="44" t="str">
        <x:v>1.2 WD</x:v>
      </x:c>
      <x:c r="O174" s="44" t="str">
        <x:v>AERA-001-1.2WD-20260807.1</x:v>
      </x:c>
      <x:c r="P174" s="45" t="str">
        <x:v>Authoritative PDF Appendix A; generated from controlled source</x:v>
      </x:c>
    </x:row>
    <x:row r="175" ht="60" customHeight="1">
      <x:c r="A175" s="43" t="str">
        <x:v>AERA-PR-012</x:v>
      </x:c>
      <x:c r="B175" s="44" t="str">
        <x:v>PR</x:v>
      </x:c>
      <x:c r="C175" s="44" t="str">
        <x:v>For every material decision transaction, the implementation SHALL retain a tamper-evident causal record that identifies who or what proposed, authorized, enforced, observed, overrode, or recovered the action; the evidence and policy used; the authorization and validity; and the observed result.</x:v>
      </x:c>
      <x:c r="D175" s="44" t="str">
        <x:v>I, T, D</x:v>
      </x:c>
      <x:c r="E175" s="44" t="str">
        <x:v>PROPOSED</x:v>
      </x:c>
      <x:c r="F175" s="44" t="str">
        <x:v>1.1 RC1 or earlier - lineage pending</x:v>
      </x:c>
      <x:c r="G175" s="44" t="str"/>
      <x:c r="H175" s="44" t="str"/>
      <x:c r="I175" s="44" t="str"/>
      <x:c r="J175" s="44" t="str"/>
      <x:c r="K175" s="44" t="str"/>
      <x:c r="L175" s="44" t="str"/>
      <x:c r="M175" s="44" t="str">
        <x:v>UNDETERMINED - claim-specific profile matrix required</x:v>
      </x:c>
      <x:c r="N175" s="44" t="str">
        <x:v>1.2 WD</x:v>
      </x:c>
      <x:c r="O175" s="44" t="str">
        <x:v>AERA-001-1.2WD-20260807.1</x:v>
      </x:c>
      <x:c r="P175" s="45" t="str">
        <x:v>Authoritative PDF Appendix A; generated from controlled source</x:v>
      </x:c>
    </x:row>
    <x:row r="176" ht="60" customHeight="1">
      <x:c r="A176" s="43" t="str">
        <x:v>AERA-Q-001</x:v>
      </x:c>
      <x:c r="B176" s="44" t="str">
        <x:v>Q</x:v>
      </x:c>
      <x:c r="C176" s="44" t="str">
        <x:v>A quantum-enabled decision service SHALL identify capability class, role/boundary, readiness, classical baseline, measured mission advantage, error/uncertainty, security assumptions, cost/dependencies, and exit criteria.</x:v>
      </x:c>
      <x:c r="D176" s="44" t="str">
        <x:v>I, A, T</x:v>
      </x:c>
      <x:c r="E176" s="44" t="str">
        <x:v>PROPOSED</x:v>
      </x:c>
      <x:c r="F176" s="44" t="str">
        <x:v>1.1 RC1 or earlier - lineage pending</x:v>
      </x:c>
      <x:c r="G176" s="44" t="str"/>
      <x:c r="H176" s="44" t="str"/>
      <x:c r="I176" s="44" t="str"/>
      <x:c r="J176" s="44" t="str"/>
      <x:c r="K176" s="44" t="str"/>
      <x:c r="L176" s="44" t="str"/>
      <x:c r="M176" s="44" t="str">
        <x:v>UNDETERMINED - claim-specific profile matrix required</x:v>
      </x:c>
      <x:c r="N176" s="44" t="str">
        <x:v>1.2 WD</x:v>
      </x:c>
      <x:c r="O176" s="44" t="str">
        <x:v>AERA-001-1.2WD-20260807.1</x:v>
      </x:c>
      <x:c r="P176" s="45" t="str">
        <x:v>Authoritative PDF Appendix A; generated from controlled source</x:v>
      </x:c>
    </x:row>
    <x:row r="177" ht="60" customHeight="1">
      <x:c r="A177" s="43" t="str">
        <x:v>AERA-Q-002</x:v>
      </x:c>
      <x:c r="B177" s="44" t="str">
        <x:v>Q</x:v>
      </x:c>
      <x:c r="C177" s="44" t="str">
        <x:v>A quantum-enabled service SHALL retain authenticated classical control, monitoring, and audit and provide validated classical fallback or explicit no-service state before material-effect use.</x:v>
      </x:c>
      <x:c r="D177" s="44" t="str">
        <x:v>A, T</x:v>
      </x:c>
      <x:c r="E177" s="44" t="str">
        <x:v>PROPOSED</x:v>
      </x:c>
      <x:c r="F177" s="44" t="str">
        <x:v>1.1 RC1 or earlier - lineage pending</x:v>
      </x:c>
      <x:c r="G177" s="44" t="str"/>
      <x:c r="H177" s="44" t="str"/>
      <x:c r="I177" s="44" t="str"/>
      <x:c r="J177" s="44" t="str"/>
      <x:c r="K177" s="44" t="str"/>
      <x:c r="L177" s="44" t="str"/>
      <x:c r="M177" s="44" t="str">
        <x:v>UNDETERMINED - claim-specific profile matrix required</x:v>
      </x:c>
      <x:c r="N177" s="44" t="str">
        <x:v>1.2 WD</x:v>
      </x:c>
      <x:c r="O177" s="44" t="str">
        <x:v>AERA-001-1.2WD-20260807.1</x:v>
      </x:c>
      <x:c r="P177" s="45" t="str">
        <x:v>Authoritative PDF Appendix A; generated from controlled source</x:v>
      </x:c>
    </x:row>
    <x:row r="178" ht="60" customHeight="1">
      <x:c r="A178" s="43" t="str">
        <x:v>AERA-REC-001</x:v>
      </x:c>
      <x:c r="B178" s="44" t="str">
        <x:v>REC</x:v>
      </x:c>
      <x:c r="C178" s="44" t="str">
        <x:v>Each material class SHALL define states, resources, authority, time bounds, irreversibility, and actions for arrest, containment, reversal, compensation, or manual transfer.</x:v>
      </x:c>
      <x:c r="D178" s="44" t="str">
        <x:v>I, A</x:v>
      </x:c>
      <x:c r="E178" s="44" t="str">
        <x:v>PROPOSED</x:v>
      </x:c>
      <x:c r="F178" s="44" t="str">
        <x:v>1.1 RC1 or earlier - lineage pending</x:v>
      </x:c>
      <x:c r="G178" s="44" t="str"/>
      <x:c r="H178" s="44" t="str"/>
      <x:c r="I178" s="44" t="str"/>
      <x:c r="J178" s="44" t="str"/>
      <x:c r="K178" s="44" t="str"/>
      <x:c r="L178" s="44" t="str"/>
      <x:c r="M178" s="44" t="str">
        <x:v>UNDETERMINED - claim-specific profile matrix required</x:v>
      </x:c>
      <x:c r="N178" s="44" t="str">
        <x:v>1.2 WD</x:v>
      </x:c>
      <x:c r="O178" s="44" t="str">
        <x:v>AERA-001-1.2WD-20260807.1</x:v>
      </x:c>
      <x:c r="P178" s="45" t="str">
        <x:v>Authoritative PDF Appendix A; generated from controlled source</x:v>
      </x:c>
    </x:row>
    <x:row r="179" ht="60" customHeight="1">
      <x:c r="A179" s="43" t="str">
        <x:v>AERA-REC-002</x:v>
      </x:c>
      <x:c r="B179" s="44" t="str">
        <x:v>REC</x:v>
      </x:c>
      <x:c r="C179" s="44" t="str">
        <x:v>Recovery, revocation, manual takeover, and state reconciliation SHALL be tested before production and after material change under credible fault/adversary conditions.</x:v>
      </x:c>
      <x:c r="D179" s="44" t="str">
        <x:v>T, D</x:v>
      </x:c>
      <x:c r="E179" s="44" t="str">
        <x:v>PROPOSED</x:v>
      </x:c>
      <x:c r="F179" s="44" t="str">
        <x:v>1.1 RC1 or earlier - lineage pending</x:v>
      </x:c>
      <x:c r="G179" s="44" t="str"/>
      <x:c r="H179" s="44" t="str"/>
      <x:c r="I179" s="44" t="str"/>
      <x:c r="J179" s="44" t="str"/>
      <x:c r="K179" s="44" t="str"/>
      <x:c r="L179" s="44" t="str"/>
      <x:c r="M179" s="44" t="str">
        <x:v>UNDETERMINED - claim-specific profile matrix required</x:v>
      </x:c>
      <x:c r="N179" s="44" t="str">
        <x:v>1.2 WD</x:v>
      </x:c>
      <x:c r="O179" s="44" t="str">
        <x:v>AERA-001-1.2WD-20260807.1</x:v>
      </x:c>
      <x:c r="P179" s="45" t="str">
        <x:v>Authoritative PDF Appendix A; generated from controlled source</x:v>
      </x:c>
    </x:row>
    <x:row r="180" ht="60" customHeight="1">
      <x:c r="A180" s="43" t="str">
        <x:v>AERA-REC-003</x:v>
      </x:c>
      <x:c r="B180" s="44" t="str">
        <x:v>REC</x:v>
      </x:c>
      <x:c r="C180" s="44" t="str">
        <x:v>Command issue/acknowledgment SHALL NOT prove effect; obtain consequence-appropriate effect evidence or mark unverified and inhibit dependent autonomous actions.</x:v>
      </x:c>
      <x:c r="D180" s="44" t="str">
        <x:v>A, T</x:v>
      </x:c>
      <x:c r="E180" s="44" t="str">
        <x:v>PROPOSED</x:v>
      </x:c>
      <x:c r="F180" s="44" t="str">
        <x:v>1.1 RC1 or earlier - lineage pending</x:v>
      </x:c>
      <x:c r="G180" s="44" t="str"/>
      <x:c r="H180" s="44" t="str"/>
      <x:c r="I180" s="44" t="str"/>
      <x:c r="J180" s="44" t="str"/>
      <x:c r="K180" s="44" t="str"/>
      <x:c r="L180" s="44" t="str"/>
      <x:c r="M180" s="44" t="str">
        <x:v>UNDETERMINED - claim-specific profile matrix required</x:v>
      </x:c>
      <x:c r="N180" s="44" t="str">
        <x:v>1.2 WD</x:v>
      </x:c>
      <x:c r="O180" s="44" t="str">
        <x:v>AERA-001-1.2WD-20260807.1</x:v>
      </x:c>
      <x:c r="P180" s="45" t="str">
        <x:v>Authoritative PDF Appendix A; generated from controlled source</x:v>
      </x:c>
    </x:row>
    <x:row r="181" ht="60" customHeight="1">
      <x:c r="A181" s="43" t="str">
        <x:v>AERA-THEORY-001</x:v>
      </x:c>
      <x:c r="B181" s="44" t="str">
        <x:v>THEORY</x:v>
      </x:c>
      <x:c r="C181" s="44" t="str">
        <x:v>Every autonomous action SHALL resolve to a valid authority delegation.</x:v>
      </x:c>
      <x:c r="D181" s="44" t="str">
        <x:v>I, A, T and/or D as consequence requires</x:v>
      </x:c>
      <x:c r="E181" s="44" t="str">
        <x:v>PROPOSED</x:v>
      </x:c>
      <x:c r="F181" s="44" t="str">
        <x:v>1.1 RC1 or earlier - lineage pending</x:v>
      </x:c>
      <x:c r="G181" s="44" t="str"/>
      <x:c r="H181" s="44" t="str"/>
      <x:c r="I181" s="44" t="str"/>
      <x:c r="J181" s="44" t="str"/>
      <x:c r="K181" s="44" t="str"/>
      <x:c r="L181" s="44" t="str"/>
      <x:c r="M181" s="44" t="str">
        <x:v>UNDETERMINED - claim-specific profile matrix required</x:v>
      </x:c>
      <x:c r="N181" s="44" t="str">
        <x:v>1.2 WD</x:v>
      </x:c>
      <x:c r="O181" s="44" t="str">
        <x:v>AERA-001-1.2WD-20260807.1</x:v>
      </x:c>
      <x:c r="P181" s="45" t="str">
        <x:v>Authoritative PDF Appendix A; generated from controlled source</x:v>
      </x:c>
    </x:row>
    <x:row r="182" ht="60" customHeight="1">
      <x:c r="A182" s="43" t="str">
        <x:v>AERA-THEORY-002</x:v>
      </x:c>
      <x:c r="B182" s="44" t="str">
        <x:v>THEORY</x:v>
      </x:c>
      <x:c r="C182" s="44" t="str">
        <x:v>Decision evaluation SHALL consider material cumulative effects when actions compose.</x:v>
      </x:c>
      <x:c r="D182" s="44" t="str">
        <x:v>I, A, T and/or D as consequence requires</x:v>
      </x:c>
      <x:c r="E182" s="44" t="str">
        <x:v>PROPOSED</x:v>
      </x:c>
      <x:c r="F182" s="44" t="str">
        <x:v>1.1 RC1 or earlier - lineage pending</x:v>
      </x:c>
      <x:c r="G182" s="44" t="str"/>
      <x:c r="H182" s="44" t="str"/>
      <x:c r="I182" s="44" t="str"/>
      <x:c r="J182" s="44" t="str"/>
      <x:c r="K182" s="44" t="str"/>
      <x:c r="L182" s="44" t="str"/>
      <x:c r="M182" s="44" t="str">
        <x:v>UNDETERMINED - claim-specific profile matrix required</x:v>
      </x:c>
      <x:c r="N182" s="44" t="str">
        <x:v>1.2 WD</x:v>
      </x:c>
      <x:c r="O182" s="44" t="str">
        <x:v>AERA-001-1.2WD-20260807.1</x:v>
      </x:c>
      <x:c r="P182" s="45" t="str">
        <x:v>Authoritative PDF Appendix A; generated from controlled source</x:v>
      </x:c>
    </x:row>
    <x:row r="183" ht="60" customHeight="1">
      <x:c r="A183" s="43" t="str">
        <x:v>AERA-THEORY-003</x:v>
      </x:c>
      <x:c r="B183" s="44" t="str">
        <x:v>THEORY</x:v>
      </x:c>
      <x:c r="C183" s="44" t="str">
        <x:v>Each decision class SHALL have an accountable human owner.</x:v>
      </x:c>
      <x:c r="D183" s="44" t="str">
        <x:v>I, A, T and/or D as consequence requires</x:v>
      </x:c>
      <x:c r="E183" s="44" t="str">
        <x:v>PROPOSED</x:v>
      </x:c>
      <x:c r="F183" s="44" t="str">
        <x:v>1.1 RC1 or earlier - lineage pending</x:v>
      </x:c>
      <x:c r="G183" s="44" t="str"/>
      <x:c r="H183" s="44" t="str"/>
      <x:c r="I183" s="44" t="str"/>
      <x:c r="J183" s="44" t="str"/>
      <x:c r="K183" s="44" t="str"/>
      <x:c r="L183" s="44" t="str"/>
      <x:c r="M183" s="44" t="str">
        <x:v>UNDETERMINED - claim-specific profile matrix required</x:v>
      </x:c>
      <x:c r="N183" s="44" t="str">
        <x:v>1.2 WD</x:v>
      </x:c>
      <x:c r="O183" s="44" t="str">
        <x:v>AERA-001-1.2WD-20260807.1</x:v>
      </x:c>
      <x:c r="P183" s="45" t="str">
        <x:v>Authoritative PDF Appendix A; generated from controlled source</x:v>
      </x:c>
    </x:row>
    <x:row r="184" ht="60" customHeight="1">
      <x:c r="A184" s="43" t="str">
        <x:v>AERA-THR-001</x:v>
      </x:c>
      <x:c r="B184" s="44" t="str">
        <x:v>THR</x:v>
      </x:c>
      <x:c r="C184" s="44" t="str">
        <x:v>When an authenticated evidence source can remain credential-valid after compromise, the implementation SHALL apply consequence-appropriate challenge, corroboration, or plausibility analysis before relying on that source for a material effect.</x:v>
      </x:c>
      <x:c r="D184" s="44" t="str">
        <x:v>A, T</x:v>
      </x:c>
      <x:c r="E184" s="44" t="str">
        <x:v>PROPOSED</x:v>
      </x:c>
      <x:c r="F184" s="44" t="str">
        <x:v>1.1 RC1 or earlier - lineage pending</x:v>
      </x:c>
      <x:c r="G184" s="44" t="str"/>
      <x:c r="H184" s="44" t="str"/>
      <x:c r="I184" s="44" t="str"/>
      <x:c r="J184" s="44" t="str"/>
      <x:c r="K184" s="44" t="str"/>
      <x:c r="L184" s="44" t="str"/>
      <x:c r="M184" s="44" t="str">
        <x:v>UNDETERMINED - claim-specific profile matrix required</x:v>
      </x:c>
      <x:c r="N184" s="44" t="str">
        <x:v>1.2 WD</x:v>
      </x:c>
      <x:c r="O184" s="44" t="str">
        <x:v>AERA-001-1.2WD-20260807.1</x:v>
      </x:c>
      <x:c r="P184" s="45" t="str">
        <x:v>Authoritative PDF Appendix A; generated from controlled source</x:v>
      </x:c>
    </x:row>
    <x:row r="185" ht="60" customHeight="1">
      <x:c r="A185" s="43" t="str">
        <x:v>AERA-THR-002</x:v>
      </x:c>
      <x:c r="B185" s="44" t="str">
        <x:v>THR</x:v>
      </x:c>
      <x:c r="C185" s="44" t="str">
        <x:v>Each cross-domain or delegated service hop SHALL preserve and validate the original initiator, delegation chain, purpose, consequence context, and requested effect before exercising target-domain authority.</x:v>
      </x:c>
      <x:c r="D185" s="44" t="str">
        <x:v>I, A, T</x:v>
      </x:c>
      <x:c r="E185" s="44" t="str">
        <x:v>PROPOSED</x:v>
      </x:c>
      <x:c r="F185" s="44" t="str">
        <x:v>1.1 RC1 or earlier - lineage pending</x:v>
      </x:c>
      <x:c r="G185" s="44" t="str"/>
      <x:c r="H185" s="44" t="str"/>
      <x:c r="I185" s="44" t="str"/>
      <x:c r="J185" s="44" t="str"/>
      <x:c r="K185" s="44" t="str"/>
      <x:c r="L185" s="44" t="str"/>
      <x:c r="M185" s="44" t="str">
        <x:v>UNDETERMINED - claim-specific profile matrix required</x:v>
      </x:c>
      <x:c r="N185" s="44" t="str">
        <x:v>1.2 WD</x:v>
      </x:c>
      <x:c r="O185" s="44" t="str">
        <x:v>AERA-001-1.2WD-20260807.1</x:v>
      </x:c>
      <x:c r="P185" s="45" t="str">
        <x:v>Authoritative PDF Appendix A; generated from controlled source</x:v>
      </x:c>
    </x:row>
    <x:row r="186" ht="60" customHeight="1">
      <x:c r="A186" s="43" t="str">
        <x:v>AERA-THR-003</x:v>
      </x:c>
      <x:c r="B186" s="44" t="str">
        <x:v>THR</x:v>
      </x:c>
      <x:c r="C186" s="44" t="str">
        <x:v>The Decision Assurance Fabric SHALL define capacity objectives and saturation thresholds, detect bypass and denial-of-assurance conditions, and invoke consequence-specific throttling or non-permit behavior before overload can become implicit authorization.</x:v>
      </x:c>
      <x:c r="D186" s="44" t="str">
        <x:v>I, A, T</x:v>
      </x:c>
      <x:c r="E186" s="44" t="str">
        <x:v>PROPOSED</x:v>
      </x:c>
      <x:c r="F186" s="44" t="str">
        <x:v>1.1 RC1 or earlier - lineage pending</x:v>
      </x:c>
      <x:c r="G186" s="44" t="str"/>
      <x:c r="H186" s="44" t="str"/>
      <x:c r="I186" s="44" t="str"/>
      <x:c r="J186" s="44" t="str"/>
      <x:c r="K186" s="44" t="str"/>
      <x:c r="L186" s="44" t="str"/>
      <x:c r="M186" s="44" t="str">
        <x:v>UNDETERMINED - claim-specific profile matrix required</x:v>
      </x:c>
      <x:c r="N186" s="44" t="str">
        <x:v>1.2 WD</x:v>
      </x:c>
      <x:c r="O186" s="44" t="str">
        <x:v>AERA-001-1.2WD-20260807.1</x:v>
      </x:c>
      <x:c r="P186" s="45" t="str">
        <x:v>Authoritative PDF Appendix A; generated from controlled source</x:v>
      </x:c>
    </x:row>
    <x:row r="187" ht="60" customHeight="1">
      <x:c r="A187" s="43" t="str">
        <x:v>AERA-THR-004</x:v>
      </x:c>
      <x:c r="B187" s="44" t="str">
        <x:v>THR</x:v>
      </x:c>
      <x:c r="C187" s="44" t="str">
        <x:v>Distributed enforcement points SHALL use monotonic policy and state updates, acknowledgement, deduplication, idempotent effect semantics, and distributed use accounting where duplicate or reordered execution could create a material effect.</x:v>
      </x:c>
      <x:c r="D187" s="44" t="str">
        <x:v>I, A, T</x:v>
      </x:c>
      <x:c r="E187" s="44" t="str">
        <x:v>PROPOSED</x:v>
      </x:c>
      <x:c r="F187" s="44" t="str">
        <x:v>1.1 RC1 or earlier - lineage pending</x:v>
      </x:c>
      <x:c r="G187" s="44" t="str"/>
      <x:c r="H187" s="44" t="str"/>
      <x:c r="I187" s="44" t="str"/>
      <x:c r="J187" s="44" t="str"/>
      <x:c r="K187" s="44" t="str"/>
      <x:c r="L187" s="44" t="str"/>
      <x:c r="M187" s="44" t="str">
        <x:v>UNDETERMINED - claim-specific profile matrix required</x:v>
      </x:c>
      <x:c r="N187" s="44" t="str">
        <x:v>1.2 WD</x:v>
      </x:c>
      <x:c r="O187" s="44" t="str">
        <x:v>AERA-001-1.2WD-20260807.1</x:v>
      </x:c>
      <x:c r="P187" s="45" t="str">
        <x:v>Authoritative PDF Appendix A; generated from controlled source</x:v>
      </x:c>
    </x:row>
    <x:row r="188" ht="60" customHeight="1">
      <x:c r="A188" s="43" t="str">
        <x:v>AERA-THR-005</x:v>
      </x:c>
      <x:c r="B188" s="44" t="str">
        <x:v>THR</x:v>
      </x:c>
      <x:c r="C188" s="44" t="str">
        <x:v>Audit evidence for high-consequence decision classes SHALL use independent replication or an equivalent survivability mechanism and SHALL detect omission, deletion, reordering, retiming, or incomplete causal chains.</x:v>
      </x:c>
      <x:c r="D188" s="44" t="str">
        <x:v>I, A, T</x:v>
      </x:c>
      <x:c r="E188" s="44" t="str">
        <x:v>PROPOSED</x:v>
      </x:c>
      <x:c r="F188" s="44" t="str">
        <x:v>1.1 RC1 or earlier - lineage pending</x:v>
      </x:c>
      <x:c r="G188" s="44" t="str"/>
      <x:c r="H188" s="44" t="str"/>
      <x:c r="I188" s="44" t="str"/>
      <x:c r="J188" s="44" t="str"/>
      <x:c r="K188" s="44" t="str"/>
      <x:c r="L188" s="44" t="str"/>
      <x:c r="M188" s="44" t="str">
        <x:v>UNDETERMINED - claim-specific profile matrix required</x:v>
      </x:c>
      <x:c r="N188" s="44" t="str">
        <x:v>1.2 WD</x:v>
      </x:c>
      <x:c r="O188" s="44" t="str">
        <x:v>AERA-001-1.2WD-20260807.1</x:v>
      </x:c>
      <x:c r="P188" s="45" t="str">
        <x:v>Authoritative PDF Appendix A; generated from controlled source</x:v>
      </x:c>
    </x:row>
    <x:row r="189" ht="60" customHeight="1">
      <x:c r="A189" s="43" t="str">
        <x:v>AERA-THR-006</x:v>
      </x:c>
      <x:c r="B189" s="44" t="str">
        <x:v>THR</x:v>
      </x:c>
      <x:c r="C189" s="44" t="str">
        <x:v>Human-oversight mechanisms SHALL define workload limits, consequence-prioritized queues, review-time and usability criteria, saturation detection, safe throttling, and timeout behavior that cannot convert absent review into permission.</x:v>
      </x:c>
      <x:c r="D189" s="44" t="str">
        <x:v>I, A, T, D</x:v>
      </x:c>
      <x:c r="E189" s="44" t="str">
        <x:v>PROPOSED</x:v>
      </x:c>
      <x:c r="F189" s="44" t="str">
        <x:v>1.1 RC1 or earlier - lineage pending</x:v>
      </x:c>
      <x:c r="G189" s="44" t="str"/>
      <x:c r="H189" s="44" t="str"/>
      <x:c r="I189" s="44" t="str"/>
      <x:c r="J189" s="44" t="str"/>
      <x:c r="K189" s="44" t="str"/>
      <x:c r="L189" s="44" t="str"/>
      <x:c r="M189" s="44" t="str">
        <x:v>UNDETERMINED - claim-specific profile matrix required</x:v>
      </x:c>
      <x:c r="N189" s="44" t="str">
        <x:v>1.2 WD</x:v>
      </x:c>
      <x:c r="O189" s="44" t="str">
        <x:v>AERA-001-1.2WD-20260807.1</x:v>
      </x:c>
      <x:c r="P189" s="45" t="str">
        <x:v>Authoritative PDF Appendix A; generated from controlled source</x:v>
      </x:c>
    </x:row>
    <x:row r="190" ht="60" customHeight="1">
      <x:c r="A190" s="43" t="str">
        <x:v>AERA-VV-001</x:v>
      </x:c>
      <x:c r="B190" s="44" t="str">
        <x:v>VV</x:v>
      </x:c>
      <x:c r="C190" s="44" t="str">
        <x:v>Before formal validation begins, the accountable validation authority SHALL approve the decision class, configurations, operating environments, acceptance criteria, measures, uncertainty treatment, thresholds, failure conditions, and required evidence.</x:v>
      </x:c>
      <x:c r="D190" s="44" t="str">
        <x:v>I</x:v>
      </x:c>
      <x:c r="E190" s="44" t="str">
        <x:v>PROPOSED</x:v>
      </x:c>
      <x:c r="F190" s="44" t="str">
        <x:v>1.1 RC1 or earlier - lineage pending</x:v>
      </x:c>
      <x:c r="G190" s="44" t="str"/>
      <x:c r="H190" s="44" t="str"/>
      <x:c r="I190" s="44" t="str"/>
      <x:c r="J190" s="44" t="str"/>
      <x:c r="K190" s="44" t="str"/>
      <x:c r="L190" s="44" t="str"/>
      <x:c r="M190" s="44" t="str">
        <x:v>UNDETERMINED - claim-specific profile matrix required</x:v>
      </x:c>
      <x:c r="N190" s="44" t="str">
        <x:v>1.2 WD</x:v>
      </x:c>
      <x:c r="O190" s="44" t="str">
        <x:v>AERA-001-1.2WD-20260807.1</x:v>
      </x:c>
      <x:c r="P190" s="45" t="str">
        <x:v>Authoritative PDF Appendix A; generated from controlled source</x:v>
      </x:c>
    </x:row>
    <x:row r="191" ht="60" customHeight="1">
      <x:c r="A191" s="43" t="str">
        <x:v>AERA-VV-002</x:v>
      </x:c>
      <x:c r="B191" s="44" t="str">
        <x:v>VV</x:v>
      </x:c>
      <x:c r="C191" s="44" t="str">
        <x:v>Validation of each material decision class SHALL include all applicable representative, boundary, adversarial, degraded, partitioned, common-mode, contradictory or stale evidence, identity, authority, policy, PNT, communications, tool or model, enforcement-bypass, recovery, and rollback conditions.</x:v>
      </x:c>
      <x:c r="D191" s="44" t="str">
        <x:v>I, T</x:v>
      </x:c>
      <x:c r="E191" s="44" t="str">
        <x:v>PROPOSED</x:v>
      </x:c>
      <x:c r="F191" s="44" t="str">
        <x:v>1.1 RC1 or earlier - lineage pending</x:v>
      </x:c>
      <x:c r="G191" s="44" t="str"/>
      <x:c r="H191" s="44" t="str"/>
      <x:c r="I191" s="44" t="str"/>
      <x:c r="J191" s="44" t="str"/>
      <x:c r="K191" s="44" t="str"/>
      <x:c r="L191" s="44" t="str"/>
      <x:c r="M191" s="44" t="str">
        <x:v>UNDETERMINED - claim-specific profile matrix required</x:v>
      </x:c>
      <x:c r="N191" s="44" t="str">
        <x:v>1.2 WD</x:v>
      </x:c>
      <x:c r="O191" s="44" t="str">
        <x:v>AERA-001-1.2WD-20260807.1</x:v>
      </x:c>
      <x:c r="P191" s="45" t="str">
        <x:v>Authoritative PDF Appendix A; generated from controlled source</x:v>
      </x:c>
    </x:row>
    <x:row r="192" ht="60" customHeight="1">
      <x:c r="A192" s="43" t="str">
        <x:v>AERA-VV-003</x:v>
      </x:c>
      <x:c r="B192" s="44" t="str">
        <x:v>VV</x:v>
      </x:c>
      <x:c r="C192" s="44" t="str">
        <x:v>Each CC-3 or CC-4 decision class SHALL maintain a configuration-bound assurance case that states the top claim, scope and context, assumptions, argument, subclaims, evidence, rebuttals, limitations, residual risk, validity, monitoring, and reassessment triggers.</x:v>
      </x:c>
      <x:c r="D192" s="44" t="str">
        <x:v>I, A</x:v>
      </x:c>
      <x:c r="E192" s="44" t="str">
        <x:v>PROPOSED</x:v>
      </x:c>
      <x:c r="F192" s="44" t="str">
        <x:v>1.1 RC1 or earlier - lineage pending</x:v>
      </x:c>
      <x:c r="G192" s="44" t="str"/>
      <x:c r="H192" s="44" t="str"/>
      <x:c r="I192" s="44" t="str"/>
      <x:c r="J192" s="44" t="str"/>
      <x:c r="K192" s="44" t="str"/>
      <x:c r="L192" s="44" t="str"/>
      <x:c r="M192" s="44" t="str">
        <x:v>UNDETERMINED - claim-specific profile matrix required</x:v>
      </x:c>
      <x:c r="N192" s="44" t="str">
        <x:v>1.2 WD</x:v>
      </x:c>
      <x:c r="O192" s="44" t="str">
        <x:v>AERA-001-1.2WD-20260807.1</x:v>
      </x:c>
      <x:c r="P192" s="45" t="str">
        <x:v>Authoritative PDF Appendix A; generated from controlled source</x:v>
      </x:c>
    </x:row>
    <x:row r="193" ht="60" customHeight="1">
      <x:c r="A193" s="43" t="str">
        <x:v>AERA-VV-004</x:v>
      </x:c>
      <x:c r="B193" s="44" t="str">
        <x:v>VV</x:v>
      </x:c>
      <x:c r="C193" s="44" t="str">
        <x:v>The accountable authority SHALL approve the assurance case for each CC-3 or CC-4 decision class before production authority is granted and after any material change that invalidates a claim or item of evidence.</x:v>
      </x:c>
      <x:c r="D193" s="44" t="str">
        <x:v>I, A</x:v>
      </x:c>
      <x:c r="E193" s="44" t="str">
        <x:v>PROPOSED</x:v>
      </x:c>
      <x:c r="F193" s="44" t="str">
        <x:v>1.1 RC1 or earlier - lineage pending</x:v>
      </x:c>
      <x:c r="G193" s="44" t="str"/>
      <x:c r="H193" s="44" t="str"/>
      <x:c r="I193" s="44" t="str"/>
      <x:c r="J193" s="44" t="str"/>
      <x:c r="K193" s="44" t="str"/>
      <x:c r="L193" s="44" t="str"/>
      <x:c r="M193" s="44" t="str">
        <x:v>UNDETERMINED - claim-specific profile matrix required</x:v>
      </x:c>
      <x:c r="N193" s="44" t="str">
        <x:v>1.2 WD</x:v>
      </x:c>
      <x:c r="O193" s="44" t="str">
        <x:v>AERA-001-1.2WD-20260807.1</x:v>
      </x:c>
      <x:c r="P193" s="45" t="str">
        <x:v>Authoritative PDF Appendix A; generated from controlled source</x:v>
      </x:c>
    </x:row>
    <x:row r="194" ht="60" customHeight="1">
      <x:c r="A194" s="43" t="str">
        <x:v>AERA-VV-005</x:v>
      </x:c>
      <x:c r="B194" s="44" t="str">
        <x:v>VV</x:v>
      </x:c>
      <x:c r="C194" s="44" t="str">
        <x:v>Each formal test SHALL define a decision oracle, expected result, tolerance, treatment of indeterminate outcomes, and defect-disposition rule before execution.</x:v>
      </x:c>
      <x:c r="D194" s="44" t="str">
        <x:v>I, A</x:v>
      </x:c>
      <x:c r="E194" s="44" t="str">
        <x:v>PROPOSED</x:v>
      </x:c>
      <x:c r="F194" s="44" t="str">
        <x:v>1.1 RC1 or earlier - lineage pending</x:v>
      </x:c>
      <x:c r="G194" s="44" t="str"/>
      <x:c r="H194" s="44" t="str"/>
      <x:c r="I194" s="44" t="str"/>
      <x:c r="J194" s="44" t="str"/>
      <x:c r="K194" s="44" t="str"/>
      <x:c r="L194" s="44" t="str"/>
      <x:c r="M194" s="44" t="str">
        <x:v>UNDETERMINED - claim-specific profile matrix required</x:v>
      </x:c>
      <x:c r="N194" s="44" t="str">
        <x:v>1.2 WD</x:v>
      </x:c>
      <x:c r="O194" s="44" t="str">
        <x:v>AERA-001-1.2WD-20260807.1</x:v>
      </x:c>
      <x:c r="P194" s="45" t="str">
        <x:v>Authoritative PDF Appendix A; generated from controlled source</x:v>
      </x:c>
    </x:row>
    <x:row r="195" ht="60" customHeight="1">
      <x:c r="A195" s="43" t="str">
        <x:v>AERA-VV-006</x:v>
      </x:c>
      <x:c r="B195" s="44" t="str">
        <x:v>VV</x:v>
      </x:c>
      <x:c r="C195" s="44" t="str">
        <x:v>A validation campaign SHALL predeclare coverage, sampling basis, sample size or stopping rule, statistical or epistemic uncertainty treatment, environment and configuration, and limits on inference to the claimed decision population.</x:v>
      </x:c>
      <x:c r="D195" s="44" t="str">
        <x:v>I, A, T</x:v>
      </x:c>
      <x:c r="E195" s="44" t="str">
        <x:v>PROPOSED</x:v>
      </x:c>
      <x:c r="F195" s="44" t="str">
        <x:v>1.1 RC1 or earlier - lineage pending</x:v>
      </x:c>
      <x:c r="G195" s="44" t="str"/>
      <x:c r="H195" s="44" t="str"/>
      <x:c r="I195" s="44" t="str"/>
      <x:c r="J195" s="44" t="str"/>
      <x:c r="K195" s="44" t="str"/>
      <x:c r="L195" s="44" t="str"/>
      <x:c r="M195" s="44" t="str">
        <x:v>UNDETERMINED - claim-specific profile matrix required</x:v>
      </x:c>
      <x:c r="N195" s="44" t="str">
        <x:v>1.2 WD</x:v>
      </x:c>
      <x:c r="O195" s="44" t="str">
        <x:v>AERA-001-1.2WD-20260807.1</x:v>
      </x:c>
      <x:c r="P195" s="45" t="str">
        <x:v>Authoritative PDF Appendix A; generated from controlled source</x:v>
      </x:c>
    </x:row>
    <x:row r="196" ht="60" customHeight="1">
      <x:c r="A196" s="43" t="str">
        <x:v>AERA-VV-007</x:v>
      </x:c>
      <x:c r="B196" s="44" t="str">
        <x:v>VV</x:v>
      </x:c>
      <x:c r="C196" s="44" t="str">
        <x:v>Each active normative requirement SHALL reference at least one profile- and consequence-specific verification procedure; a requirement lacking an approved procedure or sufficient current evidence SHALL be assessed INDETERMINATE rather than SATISFIED.</x:v>
      </x:c>
      <x:c r="D196" s="44" t="str">
        <x:v>I, A</x:v>
      </x:c>
      <x:c r="E196" s="44" t="str">
        <x:v>PROPOSED</x:v>
      </x:c>
      <x:c r="F196" s="44" t="str">
        <x:v>1.2 WD</x:v>
      </x:c>
      <x:c r="G196" s="44" t="str"/>
      <x:c r="H196" s="44" t="str"/>
      <x:c r="I196" s="44" t="str"/>
      <x:c r="J196" s="44" t="str"/>
      <x:c r="K196" s="44" t="str"/>
      <x:c r="L196" s="44" t="str"/>
      <x:c r="M196" s="44" t="str">
        <x:v>UNDETERMINED - claim-specific profile matrix required</x:v>
      </x:c>
      <x:c r="N196" s="44" t="str">
        <x:v>1.2 WD</x:v>
      </x:c>
      <x:c r="O196" s="44" t="str">
        <x:v>AERA-001-1.2WD-20260807.1</x:v>
      </x:c>
      <x:c r="P196" s="45" t="str">
        <x:v>Authoritative PDF Appendix A; generated from controlled source</x:v>
      </x:c>
    </x:row>
    <x:row r="197" ht="60" customHeight="1">
      <x:c r="A197" s="43" t="str">
        <x:v>AERA-XW-001</x:v>
      </x:c>
      <x:c r="B197" s="44" t="str">
        <x:v>XW</x:v>
      </x:c>
      <x:c r="C197" s="44" t="str">
        <x:v>Every external mapping SHALL identify the official source, publication status, version or release, access date, and mapping direction.</x:v>
      </x:c>
      <x:c r="D197" s="44" t="str">
        <x:v>Crosswalk metadata; source register; sampled URL and version verification.</x:v>
      </x:c>
      <x:c r="E197" s="44" t="str">
        <x:v>PROPOSED</x:v>
      </x:c>
      <x:c r="F197" s="44" t="str">
        <x:v>1.1 RC1 or earlier - lineage pending</x:v>
      </x:c>
      <x:c r="G197" s="44" t="str"/>
      <x:c r="H197" s="44" t="str"/>
      <x:c r="I197" s="44" t="str"/>
      <x:c r="J197" s="44" t="str"/>
      <x:c r="K197" s="44" t="str"/>
      <x:c r="L197" s="44" t="str"/>
      <x:c r="M197" s="44" t="str">
        <x:v>UNDETERMINED - claim-specific profile matrix required</x:v>
      </x:c>
      <x:c r="N197" s="44" t="str">
        <x:v>1.2 WD</x:v>
      </x:c>
      <x:c r="O197" s="44" t="str">
        <x:v>AERA-001-1.2WD-20260807.1</x:v>
      </x:c>
      <x:c r="P197" s="45" t="str">
        <x:v>Authoritative PDF Appendix A; generated from controlled source</x:v>
      </x:c>
    </x:row>
    <x:row r="198" ht="60" customHeight="1">
      <x:c r="A198" s="43" t="str">
        <x:v>AERA-XW-002</x:v>
      </x:c>
      <x:c r="B198" s="44" t="str">
        <x:v>XW</x:v>
      </x:c>
      <x:c r="C198" s="44" t="str">
        <x:v>An AERA conformance claim SHALL NOT be inferred from external certification, authorization, maturity, or framework alignment, and an AERA assessment SHALL NOT be represented as satisfying an external obligation without an independent assessment against that source.</x:v>
      </x:c>
      <x:c r="D198" s="44" t="str">
        <x:v>Claim-language review; assessment scope; communications approval.</x:v>
      </x:c>
      <x:c r="E198" s="44" t="str">
        <x:v>PROPOSED</x:v>
      </x:c>
      <x:c r="F198" s="44" t="str">
        <x:v>1.1 RC1 or earlier - lineage pending</x:v>
      </x:c>
      <x:c r="G198" s="44" t="str"/>
      <x:c r="H198" s="44" t="str"/>
      <x:c r="I198" s="44" t="str"/>
      <x:c r="J198" s="44" t="str"/>
      <x:c r="K198" s="44" t="str"/>
      <x:c r="L198" s="44" t="str"/>
      <x:c r="M198" s="44" t="str">
        <x:v>UNDETERMINED - claim-specific profile matrix required</x:v>
      </x:c>
      <x:c r="N198" s="44" t="str">
        <x:v>1.2 WD</x:v>
      </x:c>
      <x:c r="O198" s="44" t="str">
        <x:v>AERA-001-1.2WD-20260807.1</x:v>
      </x:c>
      <x:c r="P198" s="45" t="str">
        <x:v>Authoritative PDF Appendix A; generated from controlled source</x:v>
      </x:c>
    </x:row>
    <x:row r="199" ht="60" customHeight="1">
      <x:c r="A199" s="43" t="str">
        <x:v>AERA-XW-003</x:v>
      </x:c>
      <x:c r="B199" s="44" t="str">
        <x:v>XW</x:v>
      </x:c>
      <x:c r="C199" s="44" t="str">
        <x:v>External evidence SHALL be reused only when the asset, decision class, control implementation, operating context, assessment period, evidence integrity, and assurance level are shown to match the AERA claim.</x:v>
      </x:c>
      <x:c r="D199" s="44" t="str">
        <x:v>Evidence-reuse determination; scope comparison; assessor approval.</x:v>
      </x:c>
      <x:c r="E199" s="44" t="str">
        <x:v>PROPOSED</x:v>
      </x:c>
      <x:c r="F199" s="44" t="str">
        <x:v>1.1 RC1 or earlier - lineage pending</x:v>
      </x:c>
      <x:c r="G199" s="44" t="str"/>
      <x:c r="H199" s="44" t="str"/>
      <x:c r="I199" s="44" t="str"/>
      <x:c r="J199" s="44" t="str"/>
      <x:c r="K199" s="44" t="str"/>
      <x:c r="L199" s="44" t="str"/>
      <x:c r="M199" s="44" t="str">
        <x:v>UNDETERMINED - claim-specific profile matrix required</x:v>
      </x:c>
      <x:c r="N199" s="44" t="str">
        <x:v>1.2 WD</x:v>
      </x:c>
      <x:c r="O199" s="44" t="str">
        <x:v>AERA-001-1.2WD-20260807.1</x:v>
      </x:c>
      <x:c r="P199" s="45" t="str">
        <x:v>Authoritative PDF Appendix A; generated from controlled source</x:v>
      </x:c>
    </x:row>
    <x:row r="200" ht="60" customHeight="1">
      <x:c r="A200" s="46" t="str">
        <x:v>AERA-XW-004</x:v>
      </x:c>
      <x:c r="B200" s="47" t="str">
        <x:v>XW</x:v>
      </x:c>
      <x:c r="C200" s="47" t="str">
        <x:v>Mappings SHALL be reviewed when AERA changes, an external source is revised or superseded, applicable law or policy changes, or operational evidence reveals a semantic gap.</x:v>
      </x:c>
      <x:c r="D200" s="47" t="str">
        <x:v>Change-monitoring record; mapping review log; retired mapping history.</x:v>
      </x:c>
      <x:c r="E200" s="47" t="str">
        <x:v>PROPOSED</x:v>
      </x:c>
      <x:c r="F200" s="47" t="str">
        <x:v>1.1 RC1 or earlier - lineage pending</x:v>
      </x:c>
      <x:c r="G200" s="47" t="str"/>
      <x:c r="H200" s="47" t="str"/>
      <x:c r="I200" s="47" t="str"/>
      <x:c r="J200" s="47" t="str"/>
      <x:c r="K200" s="47" t="str"/>
      <x:c r="L200" s="47" t="str"/>
      <x:c r="M200" s="47" t="str">
        <x:v>UNDETERMINED - claim-specific profile matrix required</x:v>
      </x:c>
      <x:c r="N200" s="47" t="str">
        <x:v>1.2 WD</x:v>
      </x:c>
      <x:c r="O200" s="47" t="str">
        <x:v>AERA-001-1.2WD-20260807.1</x:v>
      </x:c>
      <x:c r="P200" s="48" t="str">
        <x:v>Authoritative PDF Appendix A; generated from controlled source</x:v>
      </x:c>
    </x:row>
  </x:sheetData>
  <x:pageMargins left="0.7" right="0.7" top="0.75" bottom="0.75" header="0.3" footer="0.3"/>
  <x:tableParts count="1">
    <x:tablePart xmlns:r="http://schemas.openxmlformats.org/officeDocument/2006/relationships" r:id="Ra8678d6790444c58"/>
  </x:tableParts>
</x:worksheet>
</file>

<file path=xl/worksheets/sheet2.xml><?xml version="1.0" encoding="utf-8"?>
<x:worksheet xmlns:x="http://schemas.openxmlformats.org/spreadsheetml/2006/main">
  <x:sheetFormatPr defaultRowHeight="15"/>
  <x:cols>
    <x:col min="1" max="1" width="22" hidden="0" customWidth="1"/>
    <x:col min="2" max="2" width="12" hidden="0" customWidth="1"/>
    <x:col min="3" max="3" width="72" hidden="0" customWidth="1"/>
    <x:col min="4" max="4" width="14" hidden="0" customWidth="1"/>
    <x:col min="5" max="5" width="24" hidden="0" customWidth="1"/>
    <x:col min="6" max="6" width="24" hidden="0" customWidth="1"/>
    <x:col min="7" max="7" width="18" hidden="0" customWidth="1"/>
    <x:col min="8" max="8" width="20" hidden="0" customWidth="1"/>
    <x:col min="9" max="9" width="55" hidden="0" customWidth="1"/>
    <x:col min="10" max="10" width="24" hidden="0" customWidth="1"/>
    <x:col min="11" max="11" width="48" hidden="0" customWidth="1"/>
    <x:col min="12" max="12" width="22" hidden="0" customWidth="1"/>
    <x:col min="13" max="13" width="22" hidden="0" customWidth="1"/>
    <x:col min="14" max="14" width="16" hidden="0" customWidth="1"/>
    <x:col min="15" max="15" width="40" hidden="0" customWidth="1"/>
  </x:cols>
  <x:sheetData>
    <x:row r="1" ht="30" customHeight="1">
      <x:c r="A1" s="70" t="str">
        <x:v>AERA requirement ID</x:v>
      </x:c>
      <x:c r="B1" s="71" t="str">
        <x:v>Family</x:v>
      </x:c>
      <x:c r="C1" s="71" t="str">
        <x:v>Normative text</x:v>
      </x:c>
      <x:c r="D1" s="71" t="str">
        <x:v>AERA edition</x:v>
      </x:c>
      <x:c r="E1" s="71" t="str">
        <x:v>Applicability profile ID</x:v>
      </x:c>
      <x:c r="F1" s="71" t="str">
        <x:v>Conformance subject ID</x:v>
      </x:c>
      <x:c r="G1" s="71" t="str">
        <x:v>Record version</x:v>
      </x:c>
      <x:c r="H1" s="71" t="str">
        <x:v>Applicability</x:v>
      </x:c>
      <x:c r="I1" s="71" t="str">
        <x:v>Applicability rationale</x:v>
      </x:c>
      <x:c r="J1" s="71" t="str">
        <x:v>Assessment result</x:v>
      </x:c>
      <x:c r="K1" s="71" t="str">
        <x:v>Evidence reference</x:v>
      </x:c>
      <x:c r="L1" s="71" t="str">
        <x:v>Deviation ID</x:v>
      </x:c>
      <x:c r="M1" s="71" t="str">
        <x:v>Assessment owner</x:v>
      </x:c>
      <x:c r="N1" s="71" t="str">
        <x:v>Assessment date</x:v>
      </x:c>
      <x:c r="O1" s="72" t="str">
        <x:v>QA status</x:v>
      </x:c>
    </x:row>
    <x:row r="2" ht="68" customHeight="1">
      <x:c r="A2" s="43" t="str">
        <x:v>AERA-ACTOR-001</x:v>
      </x:c>
      <x:c r="B2" s="44" t="str">
        <x:v>ACTOR</x:v>
      </x:c>
      <x:c r="C2" s="44" t="str">
        <x:v>Each actor SHALL have workload identity, owner, role, competency basis, configuration, tool/data rights, consequence ceiling, lifecycle state, and retirement/suspension.</x:v>
      </x:c>
      <x:c r="D2" s="44" t="str">
        <x:v>1.2 WD</x:v>
      </x:c>
      <x:c r="E2" s="44"/>
      <x:c r="F2" s="44"/>
      <x:c r="G2" s="44" t="str">
        <x:v>AERA-001-1.2WD-20260807.1-APPL-1</x:v>
      </x:c>
      <x:c r="H2" s="44"/>
      <x:c r="I2" s="44"/>
      <x:c r="J2" s="44"/>
      <x:c r="K2" s="44"/>
      <x:c r="L2" s="44"/>
      <x:c r="M2" s="44"/>
      <x:c r="N2" s="76"/>
      <x:c r="O2" s="45" t="str">
        <x:f>IF(OR(E2="",F2="",G2="",H2=""),"INCOMPLETE",IF(AND(H2="NOT APPLICABLE",J2&lt;&gt;""),"ERROR: RESULT SET FOR NOT APPLICABLE",IF(AND(H2="APPLICABLE",J2=""),"INCOMPLETE: RESULT REQUIRED",IF(AND(J2="APPROVED DEVIATION",L2=""),"INCOMPLETE: DEVIATION ID REQUIRED","READY"))))</x:f>
        <x:v>INCOMPLETE</x:v>
      </x:c>
    </x:row>
    <x:row r="3" ht="68" customHeight="1">
      <x:c r="A3" s="43" t="str">
        <x:v>AERA-ACTOR-002</x:v>
      </x:c>
      <x:c r="B3" s="44" t="str">
        <x:v>ACTOR</x:v>
      </x:c>
      <x:c r="C3" s="44" t="str">
        <x:v>Before consequential proposal/effect, the implementation SHALL verify actor identity and consequence-material model, context, orchestration, tool, and runtime integrity against approved or declared degraded state.</x:v>
      </x:c>
      <x:c r="D3" s="44" t="str">
        <x:v>1.2 WD</x:v>
      </x:c>
      <x:c r="E3" s="44"/>
      <x:c r="F3" s="44"/>
      <x:c r="G3" s="44" t="str">
        <x:v>AERA-001-1.2WD-20260807.1-APPL-1</x:v>
      </x:c>
      <x:c r="H3" s="44"/>
      <x:c r="I3" s="44"/>
      <x:c r="J3" s="44"/>
      <x:c r="K3" s="44"/>
      <x:c r="L3" s="44"/>
      <x:c r="M3" s="44"/>
      <x:c r="N3" s="76"/>
      <x:c r="O3" s="45" t="str">
        <x:f>IF(OR(E3="",F3="",G3="",H3=""),"INCOMPLETE",IF(AND(H3="NOT APPLICABLE",J3&lt;&gt;""),"ERROR: RESULT SET FOR NOT APPLICABLE",IF(AND(H3="APPLICABLE",J3=""),"INCOMPLETE: RESULT REQUIRED",IF(AND(J3="APPROVED DEVIATION",L3=""),"INCOMPLETE: DEVIATION ID REQUIRED","READY"))))</x:f>
        <x:v>INCOMPLETE</x:v>
      </x:c>
    </x:row>
    <x:row r="4" ht="68" customHeight="1">
      <x:c r="A4" s="43" t="str">
        <x:v>AERA-ACTOR-003</x:v>
      </x:c>
      <x:c r="B4" s="44" t="str">
        <x:v>ACTOR</x:v>
      </x:c>
      <x:c r="C4" s="44" t="str">
        <x:v>Actors SHALL NOT subdelegate unless expressly permitted; permitted subdelegation SHALL preserve constraints/attribution and SHALL NOT increase scope, consequence, duration, tools, targets, or data rights.</x:v>
      </x:c>
      <x:c r="D4" s="44" t="str">
        <x:v>1.2 WD</x:v>
      </x:c>
      <x:c r="E4" s="44"/>
      <x:c r="F4" s="44"/>
      <x:c r="G4" s="44" t="str">
        <x:v>AERA-001-1.2WD-20260807.1-APPL-1</x:v>
      </x:c>
      <x:c r="H4" s="44"/>
      <x:c r="I4" s="44"/>
      <x:c r="J4" s="44"/>
      <x:c r="K4" s="44"/>
      <x:c r="L4" s="44"/>
      <x:c r="M4" s="44"/>
      <x:c r="N4" s="76"/>
      <x:c r="O4" s="45" t="str">
        <x:f>IF(OR(E4="",F4="",G4="",H4=""),"INCOMPLETE",IF(AND(H4="NOT APPLICABLE",J4&lt;&gt;""),"ERROR: RESULT SET FOR NOT APPLICABLE",IF(AND(H4="APPLICABLE",J4=""),"INCOMPLETE: RESULT REQUIRED",IF(AND(J4="APPROVED DEVIATION",L4=""),"INCOMPLETE: DEVIATION ID REQUIRED","READY"))))</x:f>
        <x:v>INCOMPLETE</x:v>
      </x:c>
    </x:row>
    <x:row r="5" ht="68" customHeight="1">
      <x:c r="A5" s="43" t="str">
        <x:v>AERA-AUTH-001</x:v>
      </x:c>
      <x:c r="B5" s="44" t="str">
        <x:v>AUTH</x:v>
      </x:c>
      <x:c r="C5" s="44" t="str">
        <x:v>Every material autonomous action SHALL resolve at authorization time to a current, attributable, revocable delegation from an accountable grantor.</x:v>
      </x:c>
      <x:c r="D5" s="44" t="str">
        <x:v>1.2 WD</x:v>
      </x:c>
      <x:c r="E5" s="44"/>
      <x:c r="F5" s="44"/>
      <x:c r="G5" s="44" t="str">
        <x:v>AERA-001-1.2WD-20260807.1-APPL-1</x:v>
      </x:c>
      <x:c r="H5" s="44"/>
      <x:c r="I5" s="44"/>
      <x:c r="J5" s="44"/>
      <x:c r="K5" s="44"/>
      <x:c r="L5" s="44"/>
      <x:c r="M5" s="44"/>
      <x:c r="N5" s="76"/>
      <x:c r="O5" s="45" t="str">
        <x:f>IF(OR(E5="",F5="",G5="",H5=""),"INCOMPLETE",IF(AND(H5="NOT APPLICABLE",J5&lt;&gt;""),"ERROR: RESULT SET FOR NOT APPLICABLE",IF(AND(H5="APPLICABLE",J5=""),"INCOMPLETE: RESULT REQUIRED",IF(AND(J5="APPROVED DEVIATION",L5=""),"INCOMPLETE: DEVIATION ID REQUIRED","READY"))))</x:f>
        <x:v>INCOMPLETE</x:v>
      </x:c>
    </x:row>
    <x:row r="6" ht="68" customHeight="1">
      <x:c r="A6" s="43" t="str">
        <x:v>AERA-AUTH-002</x:v>
      </x:c>
      <x:c r="B6" s="44" t="str">
        <x:v>AUTH</x:v>
      </x:c>
      <x:c r="C6" s="44" t="str">
        <x:v>A delegation SHALL state grantor, grantee, permitted decisions/effects, target/domain, context, prohibitions, consequence ceiling, validity, evidence, subdelegation, escalation, and revocation.</x:v>
      </x:c>
      <x:c r="D6" s="44" t="str">
        <x:v>1.2 WD</x:v>
      </x:c>
      <x:c r="E6" s="44"/>
      <x:c r="F6" s="44"/>
      <x:c r="G6" s="44" t="str">
        <x:v>AERA-001-1.2WD-20260807.1-APPL-1</x:v>
      </x:c>
      <x:c r="H6" s="44"/>
      <x:c r="I6" s="44"/>
      <x:c r="J6" s="44"/>
      <x:c r="K6" s="44"/>
      <x:c r="L6" s="44"/>
      <x:c r="M6" s="44"/>
      <x:c r="N6" s="76"/>
      <x:c r="O6" s="45" t="str">
        <x:f>IF(OR(E6="",F6="",G6="",H6=""),"INCOMPLETE",IF(AND(H6="NOT APPLICABLE",J6&lt;&gt;""),"ERROR: RESULT SET FOR NOT APPLICABLE",IF(AND(H6="APPLICABLE",J6=""),"INCOMPLETE: RESULT REQUIRED",IF(AND(J6="APPROVED DEVIATION",L6=""),"INCOMPLETE: DEVIATION ID REQUIRED","READY"))))</x:f>
        <x:v>INCOMPLETE</x:v>
      </x:c>
    </x:row>
    <x:row r="7" ht="68" customHeight="1">
      <x:c r="A7" s="43" t="str">
        <x:v>AERA-AUTH-003</x:v>
      </x:c>
      <x:c r="B7" s="44" t="str">
        <x:v>AUTH</x:v>
      </x:c>
      <x:c r="C7" s="44" t="str">
        <x:v>Revoking delegation, identity, policy, or actor SHALL invalidate and propagate withdrawal to all unexecuted derived authorizations within a declared consequence-specific bound.</x:v>
      </x:c>
      <x:c r="D7" s="44" t="str">
        <x:v>1.2 WD</x:v>
      </x:c>
      <x:c r="E7" s="44"/>
      <x:c r="F7" s="44"/>
      <x:c r="G7" s="44" t="str">
        <x:v>AERA-001-1.2WD-20260807.1-APPL-1</x:v>
      </x:c>
      <x:c r="H7" s="44"/>
      <x:c r="I7" s="44"/>
      <x:c r="J7" s="44"/>
      <x:c r="K7" s="44"/>
      <x:c r="L7" s="44"/>
      <x:c r="M7" s="44"/>
      <x:c r="N7" s="76"/>
      <x:c r="O7" s="45" t="str">
        <x:f>IF(OR(E7="",F7="",G7="",H7=""),"INCOMPLETE",IF(AND(H7="NOT APPLICABLE",J7&lt;&gt;""),"ERROR: RESULT SET FOR NOT APPLICABLE",IF(AND(H7="APPLICABLE",J7=""),"INCOMPLETE: RESULT REQUIRED",IF(AND(J7="APPROVED DEVIATION",L7=""),"INCOMPLETE: DEVIATION ID REQUIRED","READY"))))</x:f>
        <x:v>INCOMPLETE</x:v>
      </x:c>
    </x:row>
    <x:row r="8" ht="68" customHeight="1">
      <x:c r="A8" s="43" t="str">
        <x:v>AERA-AUTH-101</x:v>
      </x:c>
      <x:c r="B8" s="44" t="str">
        <x:v>AUTH</x:v>
      </x:c>
      <x:c r="C8" s="44" t="str">
        <x:v>Every autonomous material effect SHALL resolve to a current, attributable, revocable delegation rooted in an accountable authority.</x:v>
      </x:c>
      <x:c r="D8" s="44" t="str">
        <x:v>1.2 WD</x:v>
      </x:c>
      <x:c r="E8" s="44"/>
      <x:c r="F8" s="44"/>
      <x:c r="G8" s="44" t="str">
        <x:v>AERA-001-1.2WD-20260807.1-APPL-1</x:v>
      </x:c>
      <x:c r="H8" s="44"/>
      <x:c r="I8" s="44"/>
      <x:c r="J8" s="44"/>
      <x:c r="K8" s="44"/>
      <x:c r="L8" s="44"/>
      <x:c r="M8" s="44"/>
      <x:c r="N8" s="76"/>
      <x:c r="O8" s="45" t="str">
        <x:f>IF(OR(E8="",F8="",G8="",H8=""),"INCOMPLETE",IF(AND(H8="NOT APPLICABLE",J8&lt;&gt;""),"ERROR: RESULT SET FOR NOT APPLICABLE",IF(AND(H8="APPLICABLE",J8=""),"INCOMPLETE: RESULT REQUIRED",IF(AND(J8="APPROVED DEVIATION",L8=""),"INCOMPLETE: DEVIATION ID REQUIRED","READY"))))</x:f>
        <x:v>INCOMPLETE</x:v>
      </x:c>
    </x:row>
    <x:row r="9" ht="68" customHeight="1">
      <x:c r="A9" s="43" t="str">
        <x:v>AERA-AUTH-102</x:v>
      </x:c>
      <x:c r="B9" s="44" t="str">
        <x:v>AUTH</x:v>
      </x:c>
      <x:c r="C9" s="44" t="str">
        <x:v>Possession of credentials, resource access, network reachability, tool availability, model registration, or prior approval SHALL NOT be treated as decision authority.</x:v>
      </x:c>
      <x:c r="D9" s="44" t="str">
        <x:v>1.2 WD</x:v>
      </x:c>
      <x:c r="E9" s="44"/>
      <x:c r="F9" s="44"/>
      <x:c r="G9" s="44" t="str">
        <x:v>AERA-001-1.2WD-20260807.1-APPL-1</x:v>
      </x:c>
      <x:c r="H9" s="44"/>
      <x:c r="I9" s="44"/>
      <x:c r="J9" s="44"/>
      <x:c r="K9" s="44"/>
      <x:c r="L9" s="44"/>
      <x:c r="M9" s="44"/>
      <x:c r="N9" s="76"/>
      <x:c r="O9" s="45" t="str">
        <x:f>IF(OR(E9="",F9="",G9="",H9=""),"INCOMPLETE",IF(AND(H9="NOT APPLICABLE",J9&lt;&gt;""),"ERROR: RESULT SET FOR NOT APPLICABLE",IF(AND(H9="APPLICABLE",J9=""),"INCOMPLETE: RESULT REQUIRED",IF(AND(J9="APPROVED DEVIATION",L9=""),"INCOMPLETE: DEVIATION ID REQUIRED","READY"))))</x:f>
        <x:v>INCOMPLETE</x:v>
      </x:c>
    </x:row>
    <x:row r="10" ht="68" customHeight="1">
      <x:c r="A10" s="43" t="str">
        <x:v>AERA-AUTH-103</x:v>
      </x:c>
      <x:c r="B10" s="44" t="str">
        <x:v>AUTH</x:v>
      </x:c>
      <x:c r="C10" s="44" t="str">
        <x:v>A delegation SHALL state subject, issuer, permitted actions, targets, purposes, effects, boundaries, consequence ceiling, validity, predicates, prohibitions, and revocation semantics.</x:v>
      </x:c>
      <x:c r="D10" s="44" t="str">
        <x:v>1.2 WD</x:v>
      </x:c>
      <x:c r="E10" s="44"/>
      <x:c r="F10" s="44"/>
      <x:c r="G10" s="44" t="str">
        <x:v>AERA-001-1.2WD-20260807.1-APPL-1</x:v>
      </x:c>
      <x:c r="H10" s="44"/>
      <x:c r="I10" s="44"/>
      <x:c r="J10" s="44"/>
      <x:c r="K10" s="44"/>
      <x:c r="L10" s="44"/>
      <x:c r="M10" s="44"/>
      <x:c r="N10" s="76"/>
      <x:c r="O10" s="45" t="str">
        <x:f>IF(OR(E10="",F10="",G10="",H10=""),"INCOMPLETE",IF(AND(H10="NOT APPLICABLE",J10&lt;&gt;""),"ERROR: RESULT SET FOR NOT APPLICABLE",IF(AND(H10="APPLICABLE",J10=""),"INCOMPLETE: RESULT REQUIRED",IF(AND(J10="APPROVED DEVIATION",L10=""),"INCOMPLETE: DEVIATION ID REQUIRED","READY"))))</x:f>
        <x:v>INCOMPLETE</x:v>
      </x:c>
    </x:row>
    <x:row r="11" ht="68" customHeight="1">
      <x:c r="A11" s="43" t="str">
        <x:v>AERA-AUTH-104</x:v>
      </x:c>
      <x:c r="B11" s="44" t="str">
        <x:v>AUTH</x:v>
      </x:c>
      <x:c r="C11" s="44" t="str">
        <x:v>Subdelegation SHALL be prohibited unless every applicable parent grant explicitly permits it.</x:v>
      </x:c>
      <x:c r="D11" s="44" t="str">
        <x:v>1.2 WD</x:v>
      </x:c>
      <x:c r="E11" s="44"/>
      <x:c r="F11" s="44"/>
      <x:c r="G11" s="44" t="str">
        <x:v>AERA-001-1.2WD-20260807.1-APPL-1</x:v>
      </x:c>
      <x:c r="H11" s="44"/>
      <x:c r="I11" s="44"/>
      <x:c r="J11" s="44"/>
      <x:c r="K11" s="44"/>
      <x:c r="L11" s="44"/>
      <x:c r="M11" s="44"/>
      <x:c r="N11" s="76"/>
      <x:c r="O11" s="45" t="str">
        <x:f>IF(OR(E11="",F11="",G11="",H11=""),"INCOMPLETE",IF(AND(H11="NOT APPLICABLE",J11&lt;&gt;""),"ERROR: RESULT SET FOR NOT APPLICABLE",IF(AND(H11="APPLICABLE",J11=""),"INCOMPLETE: RESULT REQUIRED",IF(AND(J11="APPROVED DEVIATION",L11=""),"INCOMPLETE: DEVIATION ID REQUIRED","READY"))))</x:f>
        <x:v>INCOMPLETE</x:v>
      </x:c>
    </x:row>
    <x:row r="12" ht="68" customHeight="1">
      <x:c r="A12" s="43" t="str">
        <x:v>AERA-AUTH-105</x:v>
      </x:c>
      <x:c r="B12" s="44" t="str">
        <x:v>AUTH</x:v>
      </x:c>
      <x:c r="C12" s="44" t="str">
        <x:v>A child grant SHALL NOT expand the scope, duration, use, resource, consequence, oversight, evidence, enforcement, or recovery authority of its effective parent chain.</x:v>
      </x:c>
      <x:c r="D12" s="44" t="str">
        <x:v>1.2 WD</x:v>
      </x:c>
      <x:c r="E12" s="44"/>
      <x:c r="F12" s="44"/>
      <x:c r="G12" s="44" t="str">
        <x:v>AERA-001-1.2WD-20260807.1-APPL-1</x:v>
      </x:c>
      <x:c r="H12" s="44"/>
      <x:c r="I12" s="44"/>
      <x:c r="J12" s="44"/>
      <x:c r="K12" s="44"/>
      <x:c r="L12" s="44"/>
      <x:c r="M12" s="44"/>
      <x:c r="N12" s="76"/>
      <x:c r="O12" s="45" t="str">
        <x:f>IF(OR(E12="",F12="",G12="",H12=""),"INCOMPLETE",IF(AND(H12="NOT APPLICABLE",J12&lt;&gt;""),"ERROR: RESULT SET FOR NOT APPLICABLE",IF(AND(H12="APPLICABLE",J12=""),"INCOMPLETE: RESULT REQUIRED",IF(AND(J12="APPROVED DEVIATION",L12=""),"INCOMPLETE: DEVIATION ID REQUIRED","READY"))))</x:f>
        <x:v>INCOMPLETE</x:v>
      </x:c>
    </x:row>
    <x:row r="13" ht="68" customHeight="1">
      <x:c r="A13" s="43" t="str">
        <x:v>AERA-AUTH-106</x:v>
      </x:c>
      <x:c r="B13" s="44" t="str">
        <x:v>AUTH</x:v>
      </x:c>
      <x:c r="C13" s="44" t="str">
        <x:v>Expiration or revocation of a parent grant SHALL invalidate dependent grants within the maximum propagation time defined by policy.</x:v>
      </x:c>
      <x:c r="D13" s="44" t="str">
        <x:v>1.2 WD</x:v>
      </x:c>
      <x:c r="E13" s="44"/>
      <x:c r="F13" s="44"/>
      <x:c r="G13" s="44" t="str">
        <x:v>AERA-001-1.2WD-20260807.1-APPL-1</x:v>
      </x:c>
      <x:c r="H13" s="44"/>
      <x:c r="I13" s="44"/>
      <x:c r="J13" s="44"/>
      <x:c r="K13" s="44"/>
      <x:c r="L13" s="44"/>
      <x:c r="M13" s="44"/>
      <x:c r="N13" s="76"/>
      <x:c r="O13" s="45" t="str">
        <x:f>IF(OR(E13="",F13="",G13="",H13=""),"INCOMPLETE",IF(AND(H13="NOT APPLICABLE",J13&lt;&gt;""),"ERROR: RESULT SET FOR NOT APPLICABLE",IF(AND(H13="APPLICABLE",J13=""),"INCOMPLETE: RESULT REQUIRED",IF(AND(J13="APPROVED DEVIATION",L13=""),"INCOMPLETE: DEVIATION ID REQUIRED","READY"))))</x:f>
        <x:v>INCOMPLETE</x:v>
      </x:c>
    </x:row>
    <x:row r="14" ht="68" customHeight="1">
      <x:c r="A14" s="43" t="str">
        <x:v>AERA-AUTH-107</x:v>
      </x:c>
      <x:c r="B14" s="44" t="str">
        <x:v>AUTH</x:v>
      </x:c>
      <x:c r="C14" s="44" t="str">
        <x:v>The DAF SHALL validate the complete effective delegation chain, including issuer authority, integrity, revocation, attenuation, and applicable prohibitions.</x:v>
      </x:c>
      <x:c r="D14" s="44" t="str">
        <x:v>1.2 WD</x:v>
      </x:c>
      <x:c r="E14" s="44"/>
      <x:c r="F14" s="44"/>
      <x:c r="G14" s="44" t="str">
        <x:v>AERA-001-1.2WD-20260807.1-APPL-1</x:v>
      </x:c>
      <x:c r="H14" s="44"/>
      <x:c r="I14" s="44"/>
      <x:c r="J14" s="44"/>
      <x:c r="K14" s="44"/>
      <x:c r="L14" s="44"/>
      <x:c r="M14" s="44"/>
      <x:c r="N14" s="76"/>
      <x:c r="O14" s="45" t="str">
        <x:f>IF(OR(E14="",F14="",G14="",H14=""),"INCOMPLETE",IF(AND(H14="NOT APPLICABLE",J14&lt;&gt;""),"ERROR: RESULT SET FOR NOT APPLICABLE",IF(AND(H14="APPLICABLE",J14=""),"INCOMPLETE: RESULT REQUIRED",IF(AND(J14="APPROVED DEVIATION",L14=""),"INCOMPLETE: DEVIATION ID REQUIRED","READY"))))</x:f>
        <x:v>INCOMPLETE</x:v>
      </x:c>
    </x:row>
    <x:row r="15" ht="68" customHeight="1">
      <x:c r="A15" s="43" t="str">
        <x:v>AERA-AUTH-108</x:v>
      </x:c>
      <x:c r="B15" s="44" t="str">
        <x:v>AUTH</x:v>
      </x:c>
      <x:c r="C15" s="44" t="str">
        <x:v>An applicable explicit deny or higher-precedence prohibition SHALL prevail over a lower-precedence allow.</x:v>
      </x:c>
      <x:c r="D15" s="44" t="str">
        <x:v>1.2 WD</x:v>
      </x:c>
      <x:c r="E15" s="44"/>
      <x:c r="F15" s="44"/>
      <x:c r="G15" s="44" t="str">
        <x:v>AERA-001-1.2WD-20260807.1-APPL-1</x:v>
      </x:c>
      <x:c r="H15" s="44"/>
      <x:c r="I15" s="44"/>
      <x:c r="J15" s="44"/>
      <x:c r="K15" s="44"/>
      <x:c r="L15" s="44"/>
      <x:c r="M15" s="44"/>
      <x:c r="N15" s="76"/>
      <x:c r="O15" s="45" t="str">
        <x:f>IF(OR(E15="",F15="",G15="",H15=""),"INCOMPLETE",IF(AND(H15="NOT APPLICABLE",J15&lt;&gt;""),"ERROR: RESULT SET FOR NOT APPLICABLE",IF(AND(H15="APPLICABLE",J15=""),"INCOMPLETE: RESULT REQUIRED",IF(AND(J15="APPROVED DEVIATION",L15=""),"INCOMPLETE: DEVIATION ID REQUIRED","READY"))))</x:f>
        <x:v>INCOMPLETE</x:v>
      </x:c>
    </x:row>
    <x:row r="16" ht="68" customHeight="1">
      <x:c r="A16" s="43" t="str">
        <x:v>AERA-AUTH-109</x:v>
      </x:c>
      <x:c r="B16" s="44" t="str">
        <x:v>AUTH</x:v>
      </x:c>
      <x:c r="C16" s="44" t="str">
        <x:v>Emergency authority SHALL be purpose-limited, time-bounded, attributable, auditable, and unable to override constraints that the issuer lacks authority to modify.</x:v>
      </x:c>
      <x:c r="D16" s="44" t="str">
        <x:v>1.2 WD</x:v>
      </x:c>
      <x:c r="E16" s="44"/>
      <x:c r="F16" s="44"/>
      <x:c r="G16" s="44" t="str">
        <x:v>AERA-001-1.2WD-20260807.1-APPL-1</x:v>
      </x:c>
      <x:c r="H16" s="44"/>
      <x:c r="I16" s="44"/>
      <x:c r="J16" s="44"/>
      <x:c r="K16" s="44"/>
      <x:c r="L16" s="44"/>
      <x:c r="M16" s="44"/>
      <x:c r="N16" s="76"/>
      <x:c r="O16" s="45" t="str">
        <x:f>IF(OR(E16="",F16="",G16="",H16=""),"INCOMPLETE",IF(AND(H16="NOT APPLICABLE",J16&lt;&gt;""),"ERROR: RESULT SET FOR NOT APPLICABLE",IF(AND(H16="APPLICABLE",J16=""),"INCOMPLETE: RESULT REQUIRED",IF(AND(J16="APPROVED DEVIATION",L16=""),"INCOMPLETE: DEVIATION ID REQUIRED","READY"))))</x:f>
        <x:v>INCOMPLETE</x:v>
      </x:c>
    </x:row>
    <x:row r="17" ht="68" customHeight="1">
      <x:c r="A17" s="43" t="str">
        <x:v>AERA-AUTH-110</x:v>
      </x:c>
      <x:c r="B17" s="44" t="str">
        <x:v>AUTH</x:v>
      </x:c>
      <x:c r="C17" s="44" t="str">
        <x:v>A disconnected-operation grant SHALL define duration, decision scope, consequence ceiling, local evidence and time requirements, reconciliation, and behavior when any bound is exceeded.</x:v>
      </x:c>
      <x:c r="D17" s="44" t="str">
        <x:v>1.2 WD</x:v>
      </x:c>
      <x:c r="E17" s="44"/>
      <x:c r="F17" s="44"/>
      <x:c r="G17" s="44" t="str">
        <x:v>AERA-001-1.2WD-20260807.1-APPL-1</x:v>
      </x:c>
      <x:c r="H17" s="44"/>
      <x:c r="I17" s="44"/>
      <x:c r="J17" s="44"/>
      <x:c r="K17" s="44"/>
      <x:c r="L17" s="44"/>
      <x:c r="M17" s="44"/>
      <x:c r="N17" s="76"/>
      <x:c r="O17" s="45" t="str">
        <x:f>IF(OR(E17="",F17="",G17="",H17=""),"INCOMPLETE",IF(AND(H17="NOT APPLICABLE",J17&lt;&gt;""),"ERROR: RESULT SET FOR NOT APPLICABLE",IF(AND(H17="APPLICABLE",J17=""),"INCOMPLETE: RESULT REQUIRED",IF(AND(J17="APPROVED DEVIATION",L17=""),"INCOMPLETE: DEVIATION ID REQUIRED","READY"))))</x:f>
        <x:v>INCOMPLETE</x:v>
      </x:c>
    </x:row>
    <x:row r="18" ht="68" customHeight="1">
      <x:c r="A18" s="43" t="str">
        <x:v>AERA-CONF-001</x:v>
      </x:c>
      <x:c r="B18" s="44" t="str">
        <x:v>CONF</x:v>
      </x:c>
      <x:c r="C18" s="44" t="str">
        <x:v>A formal conformance claim SHALL identify the AERA version, profile, claimant, subject, decision population, architectural and operational boundaries, consequence scope, dependencies, inherited controls, exclusions, assessment-independence level, evidence-package identifier and assessment date, deviations, and date-based and event-based expiration conditions.</x:v>
      </x:c>
      <x:c r="D18" s="44" t="str">
        <x:v>1.2 WD</x:v>
      </x:c>
      <x:c r="E18" s="44"/>
      <x:c r="F18" s="44"/>
      <x:c r="G18" s="44" t="str">
        <x:v>AERA-001-1.2WD-20260807.1-APPL-1</x:v>
      </x:c>
      <x:c r="H18" s="44"/>
      <x:c r="I18" s="44"/>
      <x:c r="J18" s="44"/>
      <x:c r="K18" s="44"/>
      <x:c r="L18" s="44"/>
      <x:c r="M18" s="44"/>
      <x:c r="N18" s="76"/>
      <x:c r="O18" s="45" t="str">
        <x:f>IF(OR(E18="",F18="",G18="",H18=""),"INCOMPLETE",IF(AND(H18="NOT APPLICABLE",J18&lt;&gt;""),"ERROR: RESULT SET FOR NOT APPLICABLE",IF(AND(H18="APPLICABLE",J18=""),"INCOMPLETE: RESULT REQUIRED",IF(AND(J18="APPROVED DEVIATION",L18=""),"INCOMPLETE: DEVIATION ID REQUIRED","READY"))))</x:f>
        <x:v>INCOMPLETE</x:v>
      </x:c>
    </x:row>
    <x:row r="19" ht="68" customHeight="1">
      <x:c r="A19" s="43" t="str">
        <x:v>AERA-CONF-002</x:v>
      </x:c>
      <x:c r="B19" s="44" t="str">
        <x:v>CONF</x:v>
      </x:c>
      <x:c r="C19" s="44" t="str">
        <x:v>For every requirement in the declared core and profile set, the claimant SHALL record applicability as APPLICABLE or NOT APPLICABLE separately from the assessment result; an APPLICABLE item SHALL be assessed SATISFIED, NOT SATISFIED, INDETERMINATE, or APPROVED DEVIATION, while a NOT APPLICABLE item SHALL identify rationale, evidence, approving authority, and invalidating conditions and SHALL NOT carry a satisfaction result.</x:v>
      </x:c>
      <x:c r="D19" s="44" t="str">
        <x:v>1.2 WD</x:v>
      </x:c>
      <x:c r="E19" s="44"/>
      <x:c r="F19" s="44"/>
      <x:c r="G19" s="44" t="str">
        <x:v>AERA-001-1.2WD-20260807.1-APPL-1</x:v>
      </x:c>
      <x:c r="H19" s="44"/>
      <x:c r="I19" s="44"/>
      <x:c r="J19" s="44"/>
      <x:c r="K19" s="44"/>
      <x:c r="L19" s="44"/>
      <x:c r="M19" s="44"/>
      <x:c r="N19" s="76"/>
      <x:c r="O19" s="45" t="str">
        <x:f>IF(OR(E19="",F19="",G19="",H19=""),"INCOMPLETE",IF(AND(H19="NOT APPLICABLE",J19&lt;&gt;""),"ERROR: RESULT SET FOR NOT APPLICABLE",IF(AND(H19="APPLICABLE",J19=""),"INCOMPLETE: RESULT REQUIRED",IF(AND(J19="APPROVED DEVIATION",L19=""),"INCOMPLETE: DEVIATION ID REQUIRED","READY"))))</x:f>
        <x:v>INCOMPLETE</x:v>
      </x:c>
    </x:row>
    <x:row r="20" ht="68" customHeight="1">
      <x:c r="A20" s="43" t="str">
        <x:v>AERA-CONF-003</x:v>
      </x:c>
      <x:c r="B20" s="44" t="str">
        <x:v>CONF</x:v>
      </x:c>
      <x:c r="C20" s="44" t="str">
        <x:v>For each consequence-material capability, source, or control cited by an operational claim, the claimant SHALL identify the typed state model, report the highest evidenced control-deployment state as PRESENT, MONITORED, ACTIVE IN PATH, USED IN COMPUTATION, or VALIDATED EFFECTIVE, and SHALL NOT represent a lower state or a state from another model as establishing a higher state.</x:v>
      </x:c>
      <x:c r="D20" s="44" t="str">
        <x:v>1.2 WD</x:v>
      </x:c>
      <x:c r="E20" s="44"/>
      <x:c r="F20" s="44"/>
      <x:c r="G20" s="44" t="str">
        <x:v>AERA-001-1.2WD-20260807.1-APPL-1</x:v>
      </x:c>
      <x:c r="H20" s="44"/>
      <x:c r="I20" s="44"/>
      <x:c r="J20" s="44"/>
      <x:c r="K20" s="44"/>
      <x:c r="L20" s="44"/>
      <x:c r="M20" s="44"/>
      <x:c r="N20" s="76"/>
      <x:c r="O20" s="45" t="str">
        <x:f>IF(OR(E20="",F20="",G20="",H20=""),"INCOMPLETE",IF(AND(H20="NOT APPLICABLE",J20&lt;&gt;""),"ERROR: RESULT SET FOR NOT APPLICABLE",IF(AND(H20="APPLICABLE",J20=""),"INCOMPLETE: RESULT REQUIRED",IF(AND(J20="APPROVED DEVIATION",L20=""),"INCOMPLETE: DEVIATION ID REQUIRED","READY"))))</x:f>
        <x:v>INCOMPLETE</x:v>
      </x:c>
    </x:row>
    <x:row r="21" ht="68" customHeight="1">
      <x:c r="A21" s="43" t="str">
        <x:v>AERA-CONF-004</x:v>
      </x:c>
      <x:c r="B21" s="44" t="str">
        <x:v>CONF</x:v>
      </x:c>
      <x:c r="C21" s="44" t="str">
        <x:v>Each deviation SHALL identify the unmet requirement, rationale, affected decision population and consequence class, compensating controls, residual risk, approving authority, monitoring, corrective action, expiration date, and event-based termination conditions.</x:v>
      </x:c>
      <x:c r="D21" s="44" t="str">
        <x:v>1.2 WD</x:v>
      </x:c>
      <x:c r="E21" s="44"/>
      <x:c r="F21" s="44"/>
      <x:c r="G21" s="44" t="str">
        <x:v>AERA-001-1.2WD-20260807.1-APPL-1</x:v>
      </x:c>
      <x:c r="H21" s="44"/>
      <x:c r="I21" s="44"/>
      <x:c r="J21" s="44"/>
      <x:c r="K21" s="44"/>
      <x:c r="L21" s="44"/>
      <x:c r="M21" s="44"/>
      <x:c r="N21" s="76"/>
      <x:c r="O21" s="45" t="str">
        <x:f>IF(OR(E21="",F21="",G21="",H21=""),"INCOMPLETE",IF(AND(H21="NOT APPLICABLE",J21&lt;&gt;""),"ERROR: RESULT SET FOR NOT APPLICABLE",IF(AND(H21="APPLICABLE",J21=""),"INCOMPLETE: RESULT REQUIRED",IF(AND(J21="APPROVED DEVIATION",L21=""),"INCOMPLETE: DEVIATION ID REQUIRED","READY"))))</x:f>
        <x:v>INCOMPLETE</x:v>
      </x:c>
    </x:row>
    <x:row r="22" ht="68" customHeight="1">
      <x:c r="A22" s="43" t="str">
        <x:v>AERA-CONF-005</x:v>
      </x:c>
      <x:c r="B22" s="44" t="str">
        <x:v>CONF</x:v>
      </x:c>
      <x:c r="C22" s="44" t="str">
        <x:v>A claim with an active approved deviation SHALL be labeled CONDITIONALLY CONFORMING.</x:v>
      </x:c>
      <x:c r="D22" s="44" t="str">
        <x:v>1.2 WD</x:v>
      </x:c>
      <x:c r="E22" s="44"/>
      <x:c r="F22" s="44"/>
      <x:c r="G22" s="44" t="str">
        <x:v>AERA-001-1.2WD-20260807.1-APPL-1</x:v>
      </x:c>
      <x:c r="H22" s="44"/>
      <x:c r="I22" s="44"/>
      <x:c r="J22" s="44"/>
      <x:c r="K22" s="44"/>
      <x:c r="L22" s="44"/>
      <x:c r="M22" s="44"/>
      <x:c r="N22" s="76"/>
      <x:c r="O22" s="45" t="str">
        <x:f>IF(OR(E22="",F22="",G22="",H22=""),"INCOMPLETE",IF(AND(H22="NOT APPLICABLE",J22&lt;&gt;""),"ERROR: RESULT SET FOR NOT APPLICABLE",IF(AND(H22="APPLICABLE",J22=""),"INCOMPLETE: RESULT REQUIRED",IF(AND(J22="APPROVED DEVIATION",L22=""),"INCOMPLETE: DEVIATION ID REQUIRED","READY"))))</x:f>
        <x:v>INCOMPLETE</x:v>
      </x:c>
    </x:row>
    <x:row r="23" ht="68" customHeight="1">
      <x:c r="A23" s="43" t="str">
        <x:v>AERA-CONF-006</x:v>
      </x:c>
      <x:c r="B23" s="44" t="str">
        <x:v>CONF</x:v>
      </x:c>
      <x:c r="C23" s="44" t="str">
        <x:v>An expired or unapproved deviation SHALL make the affected claim nonconforming.</x:v>
      </x:c>
      <x:c r="D23" s="44" t="str">
        <x:v>1.2 WD</x:v>
      </x:c>
      <x:c r="E23" s="44"/>
      <x:c r="F23" s="44"/>
      <x:c r="G23" s="44" t="str">
        <x:v>AERA-001-1.2WD-20260807.1-APPL-1</x:v>
      </x:c>
      <x:c r="H23" s="44"/>
      <x:c r="I23" s="44"/>
      <x:c r="J23" s="44"/>
      <x:c r="K23" s="44"/>
      <x:c r="L23" s="44"/>
      <x:c r="M23" s="44"/>
      <x:c r="N23" s="76"/>
      <x:c r="O23" s="45" t="str">
        <x:f>IF(OR(E23="",F23="",G23="",H23=""),"INCOMPLETE",IF(AND(H23="NOT APPLICABLE",J23&lt;&gt;""),"ERROR: RESULT SET FOR NOT APPLICABLE",IF(AND(H23="APPLICABLE",J23=""),"INCOMPLETE: RESULT REQUIRED",IF(AND(J23="APPROVED DEVIATION",L23=""),"INCOMPLETE: DEVIATION ID REQUIRED","READY"))))</x:f>
        <x:v>INCOMPLETE</x:v>
      </x:c>
    </x:row>
    <x:row r="24" ht="68" customHeight="1">
      <x:c r="A24" s="43" t="str">
        <x:v>AERA-CONF-007</x:v>
      </x:c>
      <x:c r="B24" s="44" t="str">
        <x:v>CONF</x:v>
      </x:c>
      <x:c r="C24" s="44" t="str">
        <x:v>Inherited controls SHALL be validated at the relying boundary and monitored for withdrawal conditions.</x:v>
      </x:c>
      <x:c r="D24" s="44" t="str">
        <x:v>1.2 WD</x:v>
      </x:c>
      <x:c r="E24" s="44"/>
      <x:c r="F24" s="44"/>
      <x:c r="G24" s="44" t="str">
        <x:v>AERA-001-1.2WD-20260807.1-APPL-1</x:v>
      </x:c>
      <x:c r="H24" s="44"/>
      <x:c r="I24" s="44"/>
      <x:c r="J24" s="44"/>
      <x:c r="K24" s="44"/>
      <x:c r="L24" s="44"/>
      <x:c r="M24" s="44"/>
      <x:c r="N24" s="76"/>
      <x:c r="O24" s="45" t="str">
        <x:f>IF(OR(E24="",F24="",G24="",H24=""),"INCOMPLETE",IF(AND(H24="NOT APPLICABLE",J24&lt;&gt;""),"ERROR: RESULT SET FOR NOT APPLICABLE",IF(AND(H24="APPLICABLE",J24=""),"INCOMPLETE: RESULT REQUIRED",IF(AND(J24="APPROVED DEVIATION",L24=""),"INCOMPLETE: DEVIATION ID REQUIRED","READY"))))</x:f>
        <x:v>INCOMPLETE</x:v>
      </x:c>
    </x:row>
    <x:row r="25" ht="68" customHeight="1">
      <x:c r="A25" s="43" t="str">
        <x:v>AERA-CONF-008</x:v>
      </x:c>
      <x:c r="B25" s="44" t="str">
        <x:v>CONF</x:v>
      </x:c>
      <x:c r="C25" s="44" t="str">
        <x:v>Material change SHALL suspend reliance on affected evidence until reassessment is complete.</x:v>
      </x:c>
      <x:c r="D25" s="44" t="str">
        <x:v>1.2 WD</x:v>
      </x:c>
      <x:c r="E25" s="44"/>
      <x:c r="F25" s="44"/>
      <x:c r="G25" s="44" t="str">
        <x:v>AERA-001-1.2WD-20260807.1-APPL-1</x:v>
      </x:c>
      <x:c r="H25" s="44"/>
      <x:c r="I25" s="44"/>
      <x:c r="J25" s="44"/>
      <x:c r="K25" s="44"/>
      <x:c r="L25" s="44"/>
      <x:c r="M25" s="44"/>
      <x:c r="N25" s="76"/>
      <x:c r="O25" s="45" t="str">
        <x:f>IF(OR(E25="",F25="",G25="",H25=""),"INCOMPLETE",IF(AND(H25="NOT APPLICABLE",J25&lt;&gt;""),"ERROR: RESULT SET FOR NOT APPLICABLE",IF(AND(H25="APPLICABLE",J25=""),"INCOMPLETE: RESULT REQUIRED",IF(AND(J25="APPROVED DEVIATION",L25=""),"INCOMPLETE: DEVIATION ID REQUIRED","READY"))))</x:f>
        <x:v>INCOMPLETE</x:v>
      </x:c>
    </x:row>
    <x:row r="26" ht="68" customHeight="1">
      <x:c r="A26" s="43" t="str">
        <x:v>AERA-CONF-009</x:v>
      </x:c>
      <x:c r="B26" s="44" t="str">
        <x:v>CONF</x:v>
      </x:c>
      <x:c r="C26" s="44" t="str">
        <x:v>Assessment independence SHALL be reported separately as self, independent internal or external assessment.</x:v>
      </x:c>
      <x:c r="D26" s="44" t="str">
        <x:v>1.2 WD</x:v>
      </x:c>
      <x:c r="E26" s="44"/>
      <x:c r="F26" s="44"/>
      <x:c r="G26" s="44" t="str">
        <x:v>AERA-001-1.2WD-20260807.1-APPL-1</x:v>
      </x:c>
      <x:c r="H26" s="44"/>
      <x:c r="I26" s="44"/>
      <x:c r="J26" s="44"/>
      <x:c r="K26" s="44"/>
      <x:c r="L26" s="44"/>
      <x:c r="M26" s="44"/>
      <x:c r="N26" s="76"/>
      <x:c r="O26" s="45" t="str">
        <x:f>IF(OR(E26="",F26="",G26="",H26=""),"INCOMPLETE",IF(AND(H26="NOT APPLICABLE",J26&lt;&gt;""),"ERROR: RESULT SET FOR NOT APPLICABLE",IF(AND(H26="APPLICABLE",J26=""),"INCOMPLETE: RESULT REQUIRED",IF(AND(J26="APPROVED DEVIATION",L26=""),"INCOMPLETE: DEVIATION ID REQUIRED","READY"))))</x:f>
        <x:v>INCOMPLETE</x:v>
      </x:c>
    </x:row>
    <x:row r="27" ht="68" customHeight="1">
      <x:c r="A27" s="43" t="str">
        <x:v>AERA-CONF-010</x:v>
      </x:c>
      <x:c r="B27" s="44" t="str">
        <x:v>CONF</x:v>
      </x:c>
      <x:c r="C27" s="44" t="str">
        <x:v>AERA-aligned SHALL NOT be presented as equivalent to conforming, certified or compliant.</x:v>
      </x:c>
      <x:c r="D27" s="44" t="str">
        <x:v>1.2 WD</x:v>
      </x:c>
      <x:c r="E27" s="44"/>
      <x:c r="F27" s="44"/>
      <x:c r="G27" s="44" t="str">
        <x:v>AERA-001-1.2WD-20260807.1-APPL-1</x:v>
      </x:c>
      <x:c r="H27" s="44"/>
      <x:c r="I27" s="44"/>
      <x:c r="J27" s="44"/>
      <x:c r="K27" s="44"/>
      <x:c r="L27" s="44"/>
      <x:c r="M27" s="44"/>
      <x:c r="N27" s="76"/>
      <x:c r="O27" s="45" t="str">
        <x:f>IF(OR(E27="",F27="",G27="",H27=""),"INCOMPLETE",IF(AND(H27="NOT APPLICABLE",J27&lt;&gt;""),"ERROR: RESULT SET FOR NOT APPLICABLE",IF(AND(H27="APPLICABLE",J27=""),"INCOMPLETE: RESULT REQUIRED",IF(AND(J27="APPROVED DEVIATION",L27=""),"INCOMPLETE: DEVIATION ID REQUIRED","READY"))))</x:f>
        <x:v>INCOMPLETE</x:v>
      </x:c>
    </x:row>
    <x:row r="28" ht="68" customHeight="1">
      <x:c r="A28" s="43" t="str">
        <x:v>AERA-CONS-101</x:v>
      </x:c>
      <x:c r="B28" s="44" t="str">
        <x:v>CONS</x:v>
      </x:c>
      <x:c r="C28" s="44" t="str">
        <x:v>Each decision class SHALL use a documented consequence-classification method that addresses severity, affected scope, reversibility, time to harm, propagation, detectability, cumulative effects, mission significance, legal, rights, and safety significance, recovery time and resources, and uncertainty.</x:v>
      </x:c>
      <x:c r="D28" s="44" t="str">
        <x:v>1.2 WD</x:v>
      </x:c>
      <x:c r="E28" s="44"/>
      <x:c r="F28" s="44"/>
      <x:c r="G28" s="44" t="str">
        <x:v>AERA-001-1.2WD-20260807.1-APPL-1</x:v>
      </x:c>
      <x:c r="H28" s="44"/>
      <x:c r="I28" s="44"/>
      <x:c r="J28" s="44"/>
      <x:c r="K28" s="44"/>
      <x:c r="L28" s="44"/>
      <x:c r="M28" s="44"/>
      <x:c r="N28" s="76"/>
      <x:c r="O28" s="45" t="str">
        <x:f>IF(OR(E28="",F28="",G28="",H28=""),"INCOMPLETE",IF(AND(H28="NOT APPLICABLE",J28&lt;&gt;""),"ERROR: RESULT SET FOR NOT APPLICABLE",IF(AND(H28="APPLICABLE",J28=""),"INCOMPLETE: RESULT REQUIRED",IF(AND(J28="APPROVED DEVIATION",L28=""),"INCOMPLETE: DEVIATION ID REQUIRED","READY"))))</x:f>
        <x:v>INCOMPLETE</x:v>
      </x:c>
    </x:row>
    <x:row r="29" ht="68" customHeight="1">
      <x:c r="A29" s="43" t="str">
        <x:v>AERA-CONS-102</x:v>
      </x:c>
      <x:c r="B29" s="44" t="str">
        <x:v>CONS</x:v>
      </x:c>
      <x:c r="C29" s="44" t="str">
        <x:v>Consequence classification SHALL use the highest class indicated by the worst credible direct, secondary, cumulative, propagated, or irreversible effect within the declared operating and threat context.</x:v>
      </x:c>
      <x:c r="D29" s="44" t="str">
        <x:v>1.2 WD</x:v>
      </x:c>
      <x:c r="E29" s="44"/>
      <x:c r="F29" s="44"/>
      <x:c r="G29" s="44" t="str">
        <x:v>AERA-001-1.2WD-20260807.1-APPL-1</x:v>
      </x:c>
      <x:c r="H29" s="44"/>
      <x:c r="I29" s="44"/>
      <x:c r="J29" s="44"/>
      <x:c r="K29" s="44"/>
      <x:c r="L29" s="44"/>
      <x:c r="M29" s="44"/>
      <x:c r="N29" s="76"/>
      <x:c r="O29" s="45" t="str">
        <x:f>IF(OR(E29="",F29="",G29="",H29=""),"INCOMPLETE",IF(AND(H29="NOT APPLICABLE",J29&lt;&gt;""),"ERROR: RESULT SET FOR NOT APPLICABLE",IF(AND(H29="APPLICABLE",J29=""),"INCOMPLETE: RESULT REQUIRED",IF(AND(J29="APPROVED DEVIATION",L29=""),"INCOMPLETE: DEVIATION ID REQUIRED","READY"))))</x:f>
        <x:v>INCOMPLETE</x:v>
      </x:c>
    </x:row>
    <x:row r="30" ht="68" customHeight="1">
      <x:c r="A30" s="43" t="str">
        <x:v>AERA-CONS-103</x:v>
      </x:c>
      <x:c r="B30" s="44" t="str">
        <x:v>CONS</x:v>
      </x:c>
      <x:c r="C30" s="44" t="str">
        <x:v>A consequence attribute that establishes a higher minimum class SHALL NOT be reduced by averaging or offsetting it against lower-consequence attributes.</x:v>
      </x:c>
      <x:c r="D30" s="44" t="str">
        <x:v>1.2 WD</x:v>
      </x:c>
      <x:c r="E30" s="44"/>
      <x:c r="F30" s="44"/>
      <x:c r="G30" s="44" t="str">
        <x:v>AERA-001-1.2WD-20260807.1-APPL-1</x:v>
      </x:c>
      <x:c r="H30" s="44"/>
      <x:c r="I30" s="44"/>
      <x:c r="J30" s="44"/>
      <x:c r="K30" s="44"/>
      <x:c r="L30" s="44"/>
      <x:c r="M30" s="44"/>
      <x:c r="N30" s="76"/>
      <x:c r="O30" s="45" t="str">
        <x:f>IF(OR(E30="",F30="",G30="",H30=""),"INCOMPLETE",IF(AND(H30="NOT APPLICABLE",J30&lt;&gt;""),"ERROR: RESULT SET FOR NOT APPLICABLE",IF(AND(H30="APPLICABLE",J30=""),"INCOMPLETE: RESULT REQUIRED",IF(AND(J30="APPROVED DEVIATION",L30=""),"INCOMPLETE: DEVIATION ID REQUIRED","READY"))))</x:f>
        <x:v>INCOMPLETE</x:v>
      </x:c>
    </x:row>
    <x:row r="31" ht="68" customHeight="1">
      <x:c r="A31" s="43" t="str">
        <x:v>AERA-CONS-104</x:v>
      </x:c>
      <x:c r="B31" s="44" t="str">
        <x:v>CONS</x:v>
      </x:c>
      <x:c r="C31" s="44" t="str">
        <x:v>The DAF SHALL re-evaluate consequence before further authorization when a sequence, batch, concurrent set, campaign, or portfolio can exceed an individual-action limit or alter the worst credible effect.</x:v>
      </x:c>
      <x:c r="D31" s="44" t="str">
        <x:v>1.2 WD</x:v>
      </x:c>
      <x:c r="E31" s="44"/>
      <x:c r="F31" s="44"/>
      <x:c r="G31" s="44" t="str">
        <x:v>AERA-001-1.2WD-20260807.1-APPL-1</x:v>
      </x:c>
      <x:c r="H31" s="44"/>
      <x:c r="I31" s="44"/>
      <x:c r="J31" s="44"/>
      <x:c r="K31" s="44"/>
      <x:c r="L31" s="44"/>
      <x:c r="M31" s="44"/>
      <x:c r="N31" s="76"/>
      <x:c r="O31" s="45" t="str">
        <x:f>IF(OR(E31="",F31="",G31="",H31=""),"INCOMPLETE",IF(AND(H31="NOT APPLICABLE",J31&lt;&gt;""),"ERROR: RESULT SET FOR NOT APPLICABLE",IF(AND(H31="APPLICABLE",J31=""),"INCOMPLETE: RESULT REQUIRED",IF(AND(J31="APPROVED DEVIATION",L31=""),"INCOMPLETE: DEVIATION ID REQUIRED","READY"))))</x:f>
        <x:v>INCOMPLETE</x:v>
      </x:c>
    </x:row>
    <x:row r="32" ht="68" customHeight="1">
      <x:c r="A32" s="43" t="str">
        <x:v>AERA-CONS-105</x:v>
      </x:c>
      <x:c r="B32" s="44" t="str">
        <x:v>CONS</x:v>
      </x:c>
      <x:c r="C32" s="44" t="str">
        <x:v>When available evidence supports more than one consequence class, classification SHALL use the highest applicable class until evidence supports a narrower class and the downgrade is approved by an authority independent of the proposer.</x:v>
      </x:c>
      <x:c r="D32" s="44" t="str">
        <x:v>1.2 WD</x:v>
      </x:c>
      <x:c r="E32" s="44"/>
      <x:c r="F32" s="44"/>
      <x:c r="G32" s="44" t="str">
        <x:v>AERA-001-1.2WD-20260807.1-APPL-1</x:v>
      </x:c>
      <x:c r="H32" s="44"/>
      <x:c r="I32" s="44"/>
      <x:c r="J32" s="44"/>
      <x:c r="K32" s="44"/>
      <x:c r="L32" s="44"/>
      <x:c r="M32" s="44"/>
      <x:c r="N32" s="76"/>
      <x:c r="O32" s="45" t="str">
        <x:f>IF(OR(E32="",F32="",G32="",H32=""),"INCOMPLETE",IF(AND(H32="NOT APPLICABLE",J32&lt;&gt;""),"ERROR: RESULT SET FOR NOT APPLICABLE",IF(AND(H32="APPLICABLE",J32=""),"INCOMPLETE: RESULT REQUIRED",IF(AND(J32="APPROVED DEVIATION",L32=""),"INCOMPLETE: DEVIATION ID REQUIRED","READY"))))</x:f>
        <x:v>INCOMPLETE</x:v>
      </x:c>
    </x:row>
    <x:row r="33" ht="68" customHeight="1">
      <x:c r="A33" s="43" t="str">
        <x:v>AERA-CONS-106</x:v>
      </x:c>
      <x:c r="B33" s="44" t="str">
        <x:v>CONS</x:v>
      </x:c>
      <x:c r="C33" s="44" t="str">
        <x:v>When concurrent transactions share a cumulative effect or resource limit, the DAF and enforcement path SHALL use bounded reservations or an equivalent atomic control that prevents aggregate authorized or executed effects from exceeding the limit.</x:v>
      </x:c>
      <x:c r="D33" s="44" t="str">
        <x:v>1.2 WD</x:v>
      </x:c>
      <x:c r="E33" s="44"/>
      <x:c r="F33" s="44"/>
      <x:c r="G33" s="44" t="str">
        <x:v>AERA-001-1.2WD-20260807.1-APPL-1</x:v>
      </x:c>
      <x:c r="H33" s="44"/>
      <x:c r="I33" s="44"/>
      <x:c r="J33" s="44"/>
      <x:c r="K33" s="44"/>
      <x:c r="L33" s="44"/>
      <x:c r="M33" s="44"/>
      <x:c r="N33" s="76"/>
      <x:c r="O33" s="45" t="str">
        <x:f>IF(OR(E33="",F33="",G33="",H33=""),"INCOMPLETE",IF(AND(H33="NOT APPLICABLE",J33&lt;&gt;""),"ERROR: RESULT SET FOR NOT APPLICABLE",IF(AND(H33="APPLICABLE",J33=""),"INCOMPLETE: RESULT REQUIRED",IF(AND(J33="APPROVED DEVIATION",L33=""),"INCOMPLETE: DEVIATION ID REQUIRED","READY"))))</x:f>
        <x:v>INCOMPLETE</x:v>
      </x:c>
    </x:row>
    <x:row r="34" ht="68" customHeight="1">
      <x:c r="A34" s="43" t="str">
        <x:v>AERA-CY-001</x:v>
      </x:c>
      <x:c r="B34" s="44" t="str">
        <x:v>CY</x:v>
      </x:c>
      <x:c r="C34" s="44" t="str">
        <x:v>Credentials used on a material-effect path SHALL be scoped, to the extent supported, to the authorized actor, audience, action, target, context, and validity interval; where native credential scoping is insufficient, the enforcement point SHALL enforce equivalent restrictions.</x:v>
      </x:c>
      <x:c r="D34" s="44" t="str">
        <x:v>1.2 WD</x:v>
      </x:c>
      <x:c r="E34" s="44"/>
      <x:c r="F34" s="44"/>
      <x:c r="G34" s="44" t="str">
        <x:v>AERA-001-1.2WD-20260807.1-APPL-1</x:v>
      </x:c>
      <x:c r="H34" s="44"/>
      <x:c r="I34" s="44"/>
      <x:c r="J34" s="44"/>
      <x:c r="K34" s="44"/>
      <x:c r="L34" s="44"/>
      <x:c r="M34" s="44"/>
      <x:c r="N34" s="76"/>
      <x:c r="O34" s="45" t="str">
        <x:f>IF(OR(E34="",F34="",G34="",H34=""),"INCOMPLETE",IF(AND(H34="NOT APPLICABLE",J34&lt;&gt;""),"ERROR: RESULT SET FOR NOT APPLICABLE",IF(AND(H34="APPLICABLE",J34=""),"INCOMPLETE: RESULT REQUIRED",IF(AND(J34="APPROVED DEVIATION",L34=""),"INCOMPLETE: DEVIATION ID REQUIRED","READY"))))</x:f>
        <x:v>INCOMPLETE</x:v>
      </x:c>
    </x:row>
    <x:row r="35" ht="68" customHeight="1">
      <x:c r="A35" s="43" t="str">
        <x:v>AERA-CY-002</x:v>
      </x:c>
      <x:c r="B35" s="44" t="str">
        <x:v>CY</x:v>
      </x:c>
      <x:c r="C35" s="44" t="str">
        <x:v>Each material effect SHALL pass through an enforcement point that is independently controllable from the proposer and capable of mediating the exact authorized actor, action, target, parameters, and context before the effect becomes irreversible or exits the recovery envelope.</x:v>
      </x:c>
      <x:c r="D35" s="44" t="str">
        <x:v>1.2 WD</x:v>
      </x:c>
      <x:c r="E35" s="44"/>
      <x:c r="F35" s="44"/>
      <x:c r="G35" s="44" t="str">
        <x:v>AERA-001-1.2WD-20260807.1-APPL-1</x:v>
      </x:c>
      <x:c r="H35" s="44"/>
      <x:c r="I35" s="44"/>
      <x:c r="J35" s="44"/>
      <x:c r="K35" s="44"/>
      <x:c r="L35" s="44"/>
      <x:c r="M35" s="44"/>
      <x:c r="N35" s="76"/>
      <x:c r="O35" s="45" t="str">
        <x:f>IF(OR(E35="",F35="",G35="",H35=""),"INCOMPLETE",IF(AND(H35="NOT APPLICABLE",J35&lt;&gt;""),"ERROR: RESULT SET FOR NOT APPLICABLE",IF(AND(H35="APPLICABLE",J35=""),"INCOMPLETE: RESULT REQUIRED",IF(AND(J35="APPROVED DEVIATION",L35=""),"INCOMPLETE: DEVIATION ID REQUIRED","READY"))))</x:f>
        <x:v>INCOMPLETE</x:v>
      </x:c>
    </x:row>
    <x:row r="36" ht="68" customHeight="1">
      <x:c r="A36" s="43" t="str">
        <x:v>AERA-CY-003</x:v>
      </x:c>
      <x:c r="B36" s="44" t="str">
        <x:v>CY</x:v>
      </x:c>
      <x:c r="C36" s="44" t="str">
        <x:v>For each material decision transaction, the implementation SHALL retain a tamper-evident record sufficient to reconstruct the causal chain from intent and authority through actor and configuration, proposal, evidence and provenance, policy and assurance verdicts, disposition, credential use, enforcement, observed effect, override, exception, and recovery.</x:v>
      </x:c>
      <x:c r="D36" s="44" t="str">
        <x:v>1.2 WD</x:v>
      </x:c>
      <x:c r="E36" s="44"/>
      <x:c r="F36" s="44"/>
      <x:c r="G36" s="44" t="str">
        <x:v>AERA-001-1.2WD-20260807.1-APPL-1</x:v>
      </x:c>
      <x:c r="H36" s="44"/>
      <x:c r="I36" s="44"/>
      <x:c r="J36" s="44"/>
      <x:c r="K36" s="44"/>
      <x:c r="L36" s="44"/>
      <x:c r="M36" s="44"/>
      <x:c r="N36" s="76"/>
      <x:c r="O36" s="45" t="str">
        <x:f>IF(OR(E36="",F36="",G36="",H36=""),"INCOMPLETE",IF(AND(H36="NOT APPLICABLE",J36&lt;&gt;""),"ERROR: RESULT SET FOR NOT APPLICABLE",IF(AND(H36="APPLICABLE",J36=""),"INCOMPLETE: RESULT REQUIRED",IF(AND(J36="APPROVED DEVIATION",L36=""),"INCOMPLETE: DEVIATION ID REQUIRED","READY"))))</x:f>
        <x:v>INCOMPLETE</x:v>
      </x:c>
    </x:row>
    <x:row r="37" ht="68" customHeight="1">
      <x:c r="A37" s="43" t="str">
        <x:v>AERA-CY-004</x:v>
      </x:c>
      <x:c r="B37" s="44" t="str">
        <x:v>CY</x:v>
      </x:c>
      <x:c r="C37" s="44" t="str">
        <x:v>Cryptographic migration SHALL be driven by inventory, exposure period and interoperability evidence.</x:v>
      </x:c>
      <x:c r="D37" s="44" t="str">
        <x:v>1.2 WD</x:v>
      </x:c>
      <x:c r="E37" s="44"/>
      <x:c r="F37" s="44"/>
      <x:c r="G37" s="44" t="str">
        <x:v>AERA-001-1.2WD-20260807.1-APPL-1</x:v>
      </x:c>
      <x:c r="H37" s="44"/>
      <x:c r="I37" s="44"/>
      <x:c r="J37" s="44"/>
      <x:c r="K37" s="44"/>
      <x:c r="L37" s="44"/>
      <x:c r="M37" s="44"/>
      <x:c r="N37" s="76"/>
      <x:c r="O37" s="45" t="str">
        <x:f>IF(OR(E37="",F37="",G37="",H37=""),"INCOMPLETE",IF(AND(H37="NOT APPLICABLE",J37&lt;&gt;""),"ERROR: RESULT SET FOR NOT APPLICABLE",IF(AND(H37="APPLICABLE",J37=""),"INCOMPLETE: RESULT REQUIRED",IF(AND(J37="APPROVED DEVIATION",L37=""),"INCOMPLETE: DEVIATION ID REQUIRED","READY"))))</x:f>
        <x:v>INCOMPLETE</x:v>
      </x:c>
    </x:row>
    <x:row r="38" ht="68" customHeight="1">
      <x:c r="A38" s="43" t="str">
        <x:v>AERA-DA-001</x:v>
      </x:c>
      <x:c r="B38" s="44" t="str">
        <x:v>DA</x:v>
      </x:c>
      <x:c r="C38" s="44" t="str">
        <x:v>Each decision class SHALL identify an accountable human authority who owns the delegation policy, approves residual risk, and remains answerable for autonomous outcomes.</x:v>
      </x:c>
      <x:c r="D38" s="44" t="str">
        <x:v>1.2 WD</x:v>
      </x:c>
      <x:c r="E38" s="44"/>
      <x:c r="F38" s="44"/>
      <x:c r="G38" s="44" t="str">
        <x:v>AERA-001-1.2WD-20260807.1-APPL-1</x:v>
      </x:c>
      <x:c r="H38" s="44"/>
      <x:c r="I38" s="44"/>
      <x:c r="J38" s="44"/>
      <x:c r="K38" s="44"/>
      <x:c r="L38" s="44"/>
      <x:c r="M38" s="44"/>
      <x:c r="N38" s="76"/>
      <x:c r="O38" s="45" t="str">
        <x:f>IF(OR(E38="",F38="",G38="",H38=""),"INCOMPLETE",IF(AND(H38="NOT APPLICABLE",J38&lt;&gt;""),"ERROR: RESULT SET FOR NOT APPLICABLE",IF(AND(H38="APPLICABLE",J38=""),"INCOMPLETE: RESULT REQUIRED",IF(AND(J38="APPROVED DEVIATION",L38=""),"INCOMPLETE: DEVIATION ID REQUIRED","READY"))))</x:f>
        <x:v>INCOMPLETE</x:v>
      </x:c>
    </x:row>
    <x:row r="39" ht="68" customHeight="1">
      <x:c r="A39" s="43" t="str">
        <x:v>AERA-DA-002</x:v>
      </x:c>
      <x:c r="B39" s="44" t="str">
        <x:v>DA</x:v>
      </x:c>
      <x:c r="C39" s="44" t="str">
        <x:v>Every delegation SHALL identify the grantor, grantee, decision class, allowed effects, prohibited effects, target scope, consequence ceiling, context predicates, validity interval, subdelegation permission, and revocation method.</x:v>
      </x:c>
      <x:c r="D39" s="44" t="str">
        <x:v>1.2 WD</x:v>
      </x:c>
      <x:c r="E39" s="44"/>
      <x:c r="F39" s="44"/>
      <x:c r="G39" s="44" t="str">
        <x:v>AERA-001-1.2WD-20260807.1-APPL-1</x:v>
      </x:c>
      <x:c r="H39" s="44"/>
      <x:c r="I39" s="44"/>
      <x:c r="J39" s="44"/>
      <x:c r="K39" s="44"/>
      <x:c r="L39" s="44"/>
      <x:c r="M39" s="44"/>
      <x:c r="N39" s="76"/>
      <x:c r="O39" s="45" t="str">
        <x:f>IF(OR(E39="",F39="",G39="",H39=""),"INCOMPLETE",IF(AND(H39="NOT APPLICABLE",J39&lt;&gt;""),"ERROR: RESULT SET FOR NOT APPLICABLE",IF(AND(H39="APPLICABLE",J39=""),"INCOMPLETE: RESULT REQUIRED",IF(AND(J39="APPROVED DEVIATION",L39=""),"INCOMPLETE: DEVIATION ID REQUIRED","READY"))))</x:f>
        <x:v>INCOMPLETE</x:v>
      </x:c>
    </x:row>
    <x:row r="40" ht="68" customHeight="1">
      <x:c r="A40" s="43" t="str">
        <x:v>AERA-DA-003</x:v>
      </x:c>
      <x:c r="B40" s="44" t="str">
        <x:v>DA</x:v>
      </x:c>
      <x:c r="C40" s="44" t="str">
        <x:v>Before authorization, the implementation SHALL validate the complete delegation chain to an approved trust anchor and SHALL NOT accept a missing, reordered, ambiguous, or unauthorized parent grant.</x:v>
      </x:c>
      <x:c r="D40" s="44" t="str">
        <x:v>1.2 WD</x:v>
      </x:c>
      <x:c r="E40" s="44"/>
      <x:c r="F40" s="44"/>
      <x:c r="G40" s="44" t="str">
        <x:v>AERA-001-1.2WD-20260807.1-APPL-1</x:v>
      </x:c>
      <x:c r="H40" s="44"/>
      <x:c r="I40" s="44"/>
      <x:c r="J40" s="44"/>
      <x:c r="K40" s="44"/>
      <x:c r="L40" s="44"/>
      <x:c r="M40" s="44"/>
      <x:c r="N40" s="76"/>
      <x:c r="O40" s="45" t="str">
        <x:f>IF(OR(E40="",F40="",G40="",H40=""),"INCOMPLETE",IF(AND(H40="NOT APPLICABLE",J40&lt;&gt;""),"ERROR: RESULT SET FOR NOT APPLICABLE",IF(AND(H40="APPLICABLE",J40=""),"INCOMPLETE: RESULT REQUIRED",IF(AND(J40="APPROVED DEVIATION",L40=""),"INCOMPLETE: DEVIATION ID REQUIRED","READY"))))</x:f>
        <x:v>INCOMPLETE</x:v>
      </x:c>
    </x:row>
    <x:row r="41" ht="68" customHeight="1">
      <x:c r="A41" s="43" t="str">
        <x:v>AERA-DA-004</x:v>
      </x:c>
      <x:c r="B41" s="44" t="str">
        <x:v>DA</x:v>
      </x:c>
      <x:c r="C41" s="44" t="str">
        <x:v>Subdelegation SHALL be denied unless the parent grant explicitly permits it and the derived grant is no broader in effect, consequence, duration, target, tool, or context.</x:v>
      </x:c>
      <x:c r="D41" s="44" t="str">
        <x:v>1.2 WD</x:v>
      </x:c>
      <x:c r="E41" s="44"/>
      <x:c r="F41" s="44"/>
      <x:c r="G41" s="44" t="str">
        <x:v>AERA-001-1.2WD-20260807.1-APPL-1</x:v>
      </x:c>
      <x:c r="H41" s="44"/>
      <x:c r="I41" s="44"/>
      <x:c r="J41" s="44"/>
      <x:c r="K41" s="44"/>
      <x:c r="L41" s="44"/>
      <x:c r="M41" s="44"/>
      <x:c r="N41" s="76"/>
      <x:c r="O41" s="45" t="str">
        <x:f>IF(OR(E41="",F41="",G41="",H41=""),"INCOMPLETE",IF(AND(H41="NOT APPLICABLE",J41&lt;&gt;""),"ERROR: RESULT SET FOR NOT APPLICABLE",IF(AND(H41="APPLICABLE",J41=""),"INCOMPLETE: RESULT REQUIRED",IF(AND(J41="APPROVED DEVIATION",L41=""),"INCOMPLETE: DEVIATION ID REQUIRED","READY"))))</x:f>
        <x:v>INCOMPLETE</x:v>
      </x:c>
    </x:row>
    <x:row r="42" ht="68" customHeight="1">
      <x:c r="A42" s="43" t="str">
        <x:v>AERA-DA-005</x:v>
      </x:c>
      <x:c r="B42" s="44" t="str">
        <x:v>DA</x:v>
      </x:c>
      <x:c r="C42" s="44" t="str">
        <x:v>Revocation, expiry, actor-integrity loss, and material context change SHALL invalidate dependent authorization state within a documented maximum propagation time; stale state SHALL NOT authorize a new effect.</x:v>
      </x:c>
      <x:c r="D42" s="44" t="str">
        <x:v>1.2 WD</x:v>
      </x:c>
      <x:c r="E42" s="44"/>
      <x:c r="F42" s="44"/>
      <x:c r="G42" s="44" t="str">
        <x:v>AERA-001-1.2WD-20260807.1-APPL-1</x:v>
      </x:c>
      <x:c r="H42" s="44"/>
      <x:c r="I42" s="44"/>
      <x:c r="J42" s="44"/>
      <x:c r="K42" s="44"/>
      <x:c r="L42" s="44"/>
      <x:c r="M42" s="44"/>
      <x:c r="N42" s="76"/>
      <x:c r="O42" s="45" t="str">
        <x:f>IF(OR(E42="",F42="",G42="",H42=""),"INCOMPLETE",IF(AND(H42="NOT APPLICABLE",J42&lt;&gt;""),"ERROR: RESULT SET FOR NOT APPLICABLE",IF(AND(H42="APPLICABLE",J42=""),"INCOMPLETE: RESULT REQUIRED",IF(AND(J42="APPROVED DEVIATION",L42=""),"INCOMPLETE: DEVIATION ID REQUIRED","READY"))))</x:f>
        <x:v>INCOMPLETE</x:v>
      </x:c>
    </x:row>
    <x:row r="43" ht="68" customHeight="1">
      <x:c r="A43" s="43" t="str">
        <x:v>AERA-DA-006</x:v>
      </x:c>
      <x:c r="B43" s="44" t="str">
        <x:v>DA</x:v>
      </x:c>
      <x:c r="C43" s="44" t="str">
        <x:v>The capability to grant authority, propose an action, classify consequence, authorize, enforce, and approve an override SHALL be separated according to consequence, and incompatible combinations SHALL require documented compensating controls.</x:v>
      </x:c>
      <x:c r="D43" s="44" t="str">
        <x:v>1.2 WD</x:v>
      </x:c>
      <x:c r="E43" s="44"/>
      <x:c r="F43" s="44"/>
      <x:c r="G43" s="44" t="str">
        <x:v>AERA-001-1.2WD-20260807.1-APPL-1</x:v>
      </x:c>
      <x:c r="H43" s="44"/>
      <x:c r="I43" s="44"/>
      <x:c r="J43" s="44"/>
      <x:c r="K43" s="44"/>
      <x:c r="L43" s="44"/>
      <x:c r="M43" s="44"/>
      <x:c r="N43" s="76"/>
      <x:c r="O43" s="45" t="str">
        <x:f>IF(OR(E43="",F43="",G43="",H43=""),"INCOMPLETE",IF(AND(H43="NOT APPLICABLE",J43&lt;&gt;""),"ERROR: RESULT SET FOR NOT APPLICABLE",IF(AND(H43="APPLICABLE",J43=""),"INCOMPLETE: RESULT REQUIRED",IF(AND(J43="APPROVED DEVIATION",L43=""),"INCOMPLETE: DEVIATION ID REQUIRED","READY"))))</x:f>
        <x:v>INCOMPLETE</x:v>
      </x:c>
    </x:row>
    <x:row r="44" ht="68" customHeight="1">
      <x:c r="A44" s="43" t="str">
        <x:v>AERA-DA-007</x:v>
      </x:c>
      <x:c r="B44" s="44" t="str">
        <x:v>DA</x:v>
      </x:c>
      <x:c r="C44" s="44" t="str">
        <x:v>Each non-human actor SHALL use a workload identity bound to its owner, role, model or software version, runtime integrity state, allowed tools, and consequence ceiling; a human account SHALL NOT be reused as the actor identity.</x:v>
      </x:c>
      <x:c r="D44" s="44" t="str">
        <x:v>1.2 WD</x:v>
      </x:c>
      <x:c r="E44" s="44"/>
      <x:c r="F44" s="44"/>
      <x:c r="G44" s="44" t="str">
        <x:v>AERA-001-1.2WD-20260807.1-APPL-1</x:v>
      </x:c>
      <x:c r="H44" s="44"/>
      <x:c r="I44" s="44"/>
      <x:c r="J44" s="44"/>
      <x:c r="K44" s="44"/>
      <x:c r="L44" s="44"/>
      <x:c r="M44" s="44"/>
      <x:c r="N44" s="76"/>
      <x:c r="O44" s="45" t="str">
        <x:f>IF(OR(E44="",F44="",G44="",H44=""),"INCOMPLETE",IF(AND(H44="NOT APPLICABLE",J44&lt;&gt;""),"ERROR: RESULT SET FOR NOT APPLICABLE",IF(AND(H44="APPLICABLE",J44=""),"INCOMPLETE: RESULT REQUIRED",IF(AND(J44="APPROVED DEVIATION",L44=""),"INCOMPLETE: DEVIATION ID REQUIRED","READY"))))</x:f>
        <x:v>INCOMPLETE</x:v>
      </x:c>
    </x:row>
    <x:row r="45" ht="68" customHeight="1">
      <x:c r="A45" s="43" t="str">
        <x:v>AERA-DA-008</x:v>
      </x:c>
      <x:c r="B45" s="44" t="str">
        <x:v>DA</x:v>
      </x:c>
      <x:c r="C45" s="44" t="str">
        <x:v>Operational intent SHALL be attributable, versioned, integrity-protected, and machine-testable, and shall state objectives, priorities, constraints, measures of success, prohibited outcomes, and review or expiry conditions.</x:v>
      </x:c>
      <x:c r="D45" s="44" t="str">
        <x:v>1.2 WD</x:v>
      </x:c>
      <x:c r="E45" s="44"/>
      <x:c r="F45" s="44"/>
      <x:c r="G45" s="44" t="str">
        <x:v>AERA-001-1.2WD-20260807.1-APPL-1</x:v>
      </x:c>
      <x:c r="H45" s="44"/>
      <x:c r="I45" s="44"/>
      <x:c r="J45" s="44"/>
      <x:c r="K45" s="44"/>
      <x:c r="L45" s="44"/>
      <x:c r="M45" s="44"/>
      <x:c r="N45" s="76"/>
      <x:c r="O45" s="45" t="str">
        <x:f>IF(OR(E45="",F45="",G45="",H45=""),"INCOMPLETE",IF(AND(H45="NOT APPLICABLE",J45&lt;&gt;""),"ERROR: RESULT SET FOR NOT APPLICABLE",IF(AND(H45="APPLICABLE",J45=""),"INCOMPLETE: RESULT REQUIRED",IF(AND(J45="APPROVED DEVIATION",L45=""),"INCOMPLETE: DEVIATION ID REQUIRED","READY"))))</x:f>
        <x:v>INCOMPLETE</x:v>
      </x:c>
    </x:row>
    <x:row r="46" ht="68" customHeight="1">
      <x:c r="A46" s="43" t="str">
        <x:v>AERA-DA-009</x:v>
      </x:c>
      <x:c r="B46" s="44" t="str">
        <x:v>DA</x:v>
      </x:c>
      <x:c r="C46" s="44" t="str">
        <x:v>Intent and policy conflict-resolution rules SHALL define precedence, tie-breaking authority, and fail-safe behavior; unresolved conflict SHALL NOT be converted to permission by implementation order.</x:v>
      </x:c>
      <x:c r="D46" s="44" t="str">
        <x:v>1.2 WD</x:v>
      </x:c>
      <x:c r="E46" s="44"/>
      <x:c r="F46" s="44"/>
      <x:c r="G46" s="44" t="str">
        <x:v>AERA-001-1.2WD-20260807.1-APPL-1</x:v>
      </x:c>
      <x:c r="H46" s="44"/>
      <x:c r="I46" s="44"/>
      <x:c r="J46" s="44"/>
      <x:c r="K46" s="44"/>
      <x:c r="L46" s="44"/>
      <x:c r="M46" s="44"/>
      <x:c r="N46" s="76"/>
      <x:c r="O46" s="45" t="str">
        <x:f>IF(OR(E46="",F46="",G46="",H46=""),"INCOMPLETE",IF(AND(H46="NOT APPLICABLE",J46&lt;&gt;""),"ERROR: RESULT SET FOR NOT APPLICABLE",IF(AND(H46="APPLICABLE",J46=""),"INCOMPLETE: RESULT REQUIRED",IF(AND(J46="APPROVED DEVIATION",L46=""),"INCOMPLETE: DEVIATION ID REQUIRED","READY"))))</x:f>
        <x:v>INCOMPLETE</x:v>
      </x:c>
    </x:row>
    <x:row r="47" ht="68" customHeight="1">
      <x:c r="A47" s="43" t="str">
        <x:v>AERA-DA-010</x:v>
      </x:c>
      <x:c r="B47" s="44" t="str">
        <x:v>DA</x:v>
      </x:c>
      <x:c r="C47" s="44" t="str">
        <x:v>Every assurance disposition SHALL record the exact policy bundle, policy version, material policy inputs, and evaluator version used; unapproved rollback to an earlier policy SHALL be rejected.</x:v>
      </x:c>
      <x:c r="D47" s="44" t="str">
        <x:v>1.2 WD</x:v>
      </x:c>
      <x:c r="E47" s="44"/>
      <x:c r="F47" s="44"/>
      <x:c r="G47" s="44" t="str">
        <x:v>AERA-001-1.2WD-20260807.1-APPL-1</x:v>
      </x:c>
      <x:c r="H47" s="44"/>
      <x:c r="I47" s="44"/>
      <x:c r="J47" s="44"/>
      <x:c r="K47" s="44"/>
      <x:c r="L47" s="44"/>
      <x:c r="M47" s="44"/>
      <x:c r="N47" s="76"/>
      <x:c r="O47" s="45" t="str">
        <x:f>IF(OR(E47="",F47="",G47="",H47=""),"INCOMPLETE",IF(AND(H47="NOT APPLICABLE",J47&lt;&gt;""),"ERROR: RESULT SET FOR NOT APPLICABLE",IF(AND(H47="APPLICABLE",J47=""),"INCOMPLETE: RESULT REQUIRED",IF(AND(J47="APPROVED DEVIATION",L47=""),"INCOMPLETE: DEVIATION ID REQUIRED","READY"))))</x:f>
        <x:v>INCOMPLETE</x:v>
      </x:c>
    </x:row>
    <x:row r="48" ht="68" customHeight="1">
      <x:c r="A48" s="43" t="str">
        <x:v>AERA-DA-011</x:v>
      </x:c>
      <x:c r="B48" s="44" t="str">
        <x:v>DA</x:v>
      </x:c>
      <x:c r="C48" s="44" t="str">
        <x:v>Consequence classification SHALL account for severity, scope, reversibility, time to harm, propagation, cumulative effects, legal or safety significance, and recovery time; the proposer SHALL NOT be the sole approver of a downgrade.</x:v>
      </x:c>
      <x:c r="D48" s="44" t="str">
        <x:v>1.2 WD</x:v>
      </x:c>
      <x:c r="E48" s="44"/>
      <x:c r="F48" s="44"/>
      <x:c r="G48" s="44" t="str">
        <x:v>AERA-001-1.2WD-20260807.1-APPL-1</x:v>
      </x:c>
      <x:c r="H48" s="44"/>
      <x:c r="I48" s="44"/>
      <x:c r="J48" s="44"/>
      <x:c r="K48" s="44"/>
      <x:c r="L48" s="44"/>
      <x:c r="M48" s="44"/>
      <x:c r="N48" s="76"/>
      <x:c r="O48" s="45" t="str">
        <x:f>IF(OR(E48="",F48="",G48="",H48=""),"INCOMPLETE",IF(AND(H48="NOT APPLICABLE",J48&lt;&gt;""),"ERROR: RESULT SET FOR NOT APPLICABLE",IF(AND(H48="APPLICABLE",J48=""),"INCOMPLETE: RESULT REQUIRED",IF(AND(J48="APPROVED DEVIATION",L48=""),"INCOMPLETE: DEVIATION ID REQUIRED","READY"))))</x:f>
        <x:v>INCOMPLETE</x:v>
      </x:c>
    </x:row>
    <x:row r="49" ht="68" customHeight="1">
      <x:c r="A49" s="43" t="str">
        <x:v>AERA-DA-012</x:v>
      </x:c>
      <x:c r="B49" s="44" t="str">
        <x:v>DA</x:v>
      </x:c>
      <x:c r="C49" s="44" t="str">
        <x:v>The proposal evaluated by the Decision Assurance Fabric SHALL be canonically represented and cryptographically bound to actor, target, parameters, tool, sequence, evidence manifest, context, and expiration; any material mutation SHALL require reauthorization.</x:v>
      </x:c>
      <x:c r="D49" s="44" t="str">
        <x:v>1.2 WD</x:v>
      </x:c>
      <x:c r="E49" s="44"/>
      <x:c r="F49" s="44"/>
      <x:c r="G49" s="44" t="str">
        <x:v>AERA-001-1.2WD-20260807.1-APPL-1</x:v>
      </x:c>
      <x:c r="H49" s="44"/>
      <x:c r="I49" s="44"/>
      <x:c r="J49" s="44"/>
      <x:c r="K49" s="44"/>
      <x:c r="L49" s="44"/>
      <x:c r="M49" s="44"/>
      <x:c r="N49" s="76"/>
      <x:c r="O49" s="45" t="str">
        <x:f>IF(OR(E49="",F49="",G49="",H49=""),"INCOMPLETE",IF(AND(H49="NOT APPLICABLE",J49&lt;&gt;""),"ERROR: RESULT SET FOR NOT APPLICABLE",IF(AND(H49="APPLICABLE",J49=""),"INCOMPLETE: RESULT REQUIRED",IF(AND(J49="APPROVED DEVIATION",L49=""),"INCOMPLETE: DEVIATION ID REQUIRED","READY"))))</x:f>
        <x:v>INCOMPLETE</x:v>
      </x:c>
    </x:row>
    <x:row r="50" ht="68" customHeight="1">
      <x:c r="A50" s="43" t="str">
        <x:v>AERA-DA-013</x:v>
      </x:c>
      <x:c r="B50" s="44" t="str">
        <x:v>DA</x:v>
      </x:c>
      <x:c r="C50" s="44" t="str">
        <x:v>Decision evidence SHALL carry source identity, acquisition method, acquisition time, transformation lineage, integrity state, uncertainty, freshness, applicable domain, and retention reference.</x:v>
      </x:c>
      <x:c r="D50" s="44" t="str">
        <x:v>1.2 WD</x:v>
      </x:c>
      <x:c r="E50" s="44"/>
      <x:c r="F50" s="44"/>
      <x:c r="G50" s="44" t="str">
        <x:v>AERA-001-1.2WD-20260807.1-APPL-1</x:v>
      </x:c>
      <x:c r="H50" s="44"/>
      <x:c r="I50" s="44"/>
      <x:c r="J50" s="44"/>
      <x:c r="K50" s="44"/>
      <x:c r="L50" s="44"/>
      <x:c r="M50" s="44"/>
      <x:c r="N50" s="76"/>
      <x:c r="O50" s="45" t="str">
        <x:f>IF(OR(E50="",F50="",G50="",H50=""),"INCOMPLETE",IF(AND(H50="NOT APPLICABLE",J50&lt;&gt;""),"ERROR: RESULT SET FOR NOT APPLICABLE",IF(AND(H50="APPLICABLE",J50=""),"INCOMPLETE: RESULT REQUIRED",IF(AND(J50="APPROVED DEVIATION",L50=""),"INCOMPLETE: DEVIATION ID REQUIRED","READY"))))</x:f>
        <x:v>INCOMPLETE</x:v>
      </x:c>
    </x:row>
    <x:row r="51" ht="68" customHeight="1">
      <x:c r="A51" s="43" t="str">
        <x:v>AERA-DA-014</x:v>
      </x:c>
      <x:c r="B51" s="44" t="str">
        <x:v>DA</x:v>
      </x:c>
      <x:c r="C51" s="44" t="str">
        <x:v>When independent evidence is required, the implementation SHALL evaluate common sensor, data, model, provider, clock, network, power, and control-plane dependencies; correlated sources SHALL NOT be counted as independent without justification.</x:v>
      </x:c>
      <x:c r="D51" s="44" t="str">
        <x:v>1.2 WD</x:v>
      </x:c>
      <x:c r="E51" s="44"/>
      <x:c r="F51" s="44"/>
      <x:c r="G51" s="44" t="str">
        <x:v>AERA-001-1.2WD-20260807.1-APPL-1</x:v>
      </x:c>
      <x:c r="H51" s="44"/>
      <x:c r="I51" s="44"/>
      <x:c r="J51" s="44"/>
      <x:c r="K51" s="44"/>
      <x:c r="L51" s="44"/>
      <x:c r="M51" s="44"/>
      <x:c r="N51" s="76"/>
      <x:c r="O51" s="45" t="str">
        <x:f>IF(OR(E51="",F51="",G51="",H51=""),"INCOMPLETE",IF(AND(H51="NOT APPLICABLE",J51&lt;&gt;""),"ERROR: RESULT SET FOR NOT APPLICABLE",IF(AND(H51="APPLICABLE",J51=""),"INCOMPLETE: RESULT REQUIRED",IF(AND(J51="APPROVED DEVIATION",L51=""),"INCOMPLETE: DEVIATION ID REQUIRED","READY"))))</x:f>
        <x:v>INCOMPLETE</x:v>
      </x:c>
    </x:row>
    <x:row r="52" ht="68" customHeight="1">
      <x:c r="A52" s="43" t="str">
        <x:v>AERA-DA-015</x:v>
      </x:c>
      <x:c r="B52" s="44" t="str">
        <x:v>DA</x:v>
      </x:c>
      <x:c r="C52" s="44" t="str">
        <x:v>Evidence source identity and integrity SHALL be verified before evidence contributes to authorization; unverifiable evidence SHALL be excluded or explicitly treated as untrusted by policy.</x:v>
      </x:c>
      <x:c r="D52" s="44" t="str">
        <x:v>1.2 WD</x:v>
      </x:c>
      <x:c r="E52" s="44"/>
      <x:c r="F52" s="44"/>
      <x:c r="G52" s="44" t="str">
        <x:v>AERA-001-1.2WD-20260807.1-APPL-1</x:v>
      </x:c>
      <x:c r="H52" s="44"/>
      <x:c r="I52" s="44"/>
      <x:c r="J52" s="44"/>
      <x:c r="K52" s="44"/>
      <x:c r="L52" s="44"/>
      <x:c r="M52" s="44"/>
      <x:c r="N52" s="76"/>
      <x:c r="O52" s="45" t="str">
        <x:f>IF(OR(E52="",F52="",G52="",H52=""),"INCOMPLETE",IF(AND(H52="NOT APPLICABLE",J52&lt;&gt;""),"ERROR: RESULT SET FOR NOT APPLICABLE",IF(AND(H52="APPLICABLE",J52=""),"INCOMPLETE: RESULT REQUIRED",IF(AND(J52="APPROVED DEVIATION",L52=""),"INCOMPLETE: DEVIATION ID REQUIRED","READY"))))</x:f>
        <x:v>INCOMPLETE</x:v>
      </x:c>
    </x:row>
    <x:row r="53" ht="68" customHeight="1">
      <x:c r="A53" s="43" t="str">
        <x:v>AERA-DA-016</x:v>
      </x:c>
      <x:c r="B53" s="44" t="str">
        <x:v>DA</x:v>
      </x:c>
      <x:c r="C53" s="44" t="str">
        <x:v>Decision policy SHALL define how contradictory, missing, ambiguous, and out-of-distribution evidence changes the disposition; a scalar confidence value SHALL NOT conceal a failed mandatory evidence condition.</x:v>
      </x:c>
      <x:c r="D53" s="44" t="str">
        <x:v>1.2 WD</x:v>
      </x:c>
      <x:c r="E53" s="44"/>
      <x:c r="F53" s="44"/>
      <x:c r="G53" s="44" t="str">
        <x:v>AERA-001-1.2WD-20260807.1-APPL-1</x:v>
      </x:c>
      <x:c r="H53" s="44"/>
      <x:c r="I53" s="44"/>
      <x:c r="J53" s="44"/>
      <x:c r="K53" s="44"/>
      <x:c r="L53" s="44"/>
      <x:c r="M53" s="44"/>
      <x:c r="N53" s="76"/>
      <x:c r="O53" s="45" t="str">
        <x:f>IF(OR(E53="",F53="",G53="",H53=""),"INCOMPLETE",IF(AND(H53="NOT APPLICABLE",J53&lt;&gt;""),"ERROR: RESULT SET FOR NOT APPLICABLE",IF(AND(H53="APPLICABLE",J53=""),"INCOMPLETE: RESULT REQUIRED",IF(AND(J53="APPROVED DEVIATION",L53=""),"INCOMPLETE: DEVIATION ID REQUIRED","READY"))))</x:f>
        <x:v>INCOMPLETE</x:v>
      </x:c>
    </x:row>
    <x:row r="54" ht="68" customHeight="1">
      <x:c r="A54" s="43" t="str">
        <x:v>AERA-DA-017</x:v>
      </x:c>
      <x:c r="B54" s="44" t="str">
        <x:v>DA</x:v>
      </x:c>
      <x:c r="C54" s="44" t="str">
        <x:v>Each evidence type SHALL have a decision-class-specific freshness and latency tolerance; evidence outside tolerance SHALL cause defer, escalation, constraint, simulation, or denial as specified by policy.</x:v>
      </x:c>
      <x:c r="D54" s="44" t="str">
        <x:v>1.2 WD</x:v>
      </x:c>
      <x:c r="E54" s="44"/>
      <x:c r="F54" s="44"/>
      <x:c r="G54" s="44" t="str">
        <x:v>AERA-001-1.2WD-20260807.1-APPL-1</x:v>
      </x:c>
      <x:c r="H54" s="44"/>
      <x:c r="I54" s="44"/>
      <x:c r="J54" s="44"/>
      <x:c r="K54" s="44"/>
      <x:c r="L54" s="44"/>
      <x:c r="M54" s="44"/>
      <x:c r="N54" s="76"/>
      <x:c r="O54" s="45" t="str">
        <x:f>IF(OR(E54="",F54="",G54="",H54=""),"INCOMPLETE",IF(AND(H54="NOT APPLICABLE",J54&lt;&gt;""),"ERROR: RESULT SET FOR NOT APPLICABLE",IF(AND(H54="APPLICABLE",J54=""),"INCOMPLETE: RESULT REQUIRED",IF(AND(J54="APPROVED DEVIATION",L54=""),"INCOMPLETE: DEVIATION ID REQUIRED","READY"))))</x:f>
        <x:v>INCOMPLETE</x:v>
      </x:c>
    </x:row>
    <x:row r="55" ht="68" customHeight="1">
      <x:c r="A55" s="43" t="str">
        <x:v>AERA-DA-018</x:v>
      </x:c>
      <x:c r="B55" s="44" t="str">
        <x:v>DA</x:v>
      </x:c>
      <x:c r="C55" s="44" t="str">
        <x:v>Assurance state SHALL preserve separately evaluated claims for authority validity, intent alignment, evidence adequacy, actor competence, cyber integrity, temporal coherence, safety margin, and recoverability; a universal scalar score SHALL NOT override a failed mandatory claim.</x:v>
      </x:c>
      <x:c r="D55" s="44" t="str">
        <x:v>1.2 WD</x:v>
      </x:c>
      <x:c r="E55" s="44"/>
      <x:c r="F55" s="44"/>
      <x:c r="G55" s="44" t="str">
        <x:v>AERA-001-1.2WD-20260807.1-APPL-1</x:v>
      </x:c>
      <x:c r="H55" s="44"/>
      <x:c r="I55" s="44"/>
      <x:c r="J55" s="44"/>
      <x:c r="K55" s="44"/>
      <x:c r="L55" s="44"/>
      <x:c r="M55" s="44"/>
      <x:c r="N55" s="76"/>
      <x:c r="O55" s="45" t="str">
        <x:f>IF(OR(E55="",F55="",G55="",H55=""),"INCOMPLETE",IF(AND(H55="NOT APPLICABLE",J55&lt;&gt;""),"ERROR: RESULT SET FOR NOT APPLICABLE",IF(AND(H55="APPLICABLE",J55=""),"INCOMPLETE: RESULT REQUIRED",IF(AND(J55="APPROVED DEVIATION",L55=""),"INCOMPLETE: DEVIATION ID REQUIRED","READY"))))</x:f>
        <x:v>INCOMPLETE</x:v>
      </x:c>
    </x:row>
    <x:row r="56" ht="68" customHeight="1">
      <x:c r="A56" s="43" t="str">
        <x:v>AERA-DA-019</x:v>
      </x:c>
      <x:c r="B56" s="44" t="str">
        <x:v>DA</x:v>
      </x:c>
      <x:c r="C56" s="44" t="str">
        <x:v>Confidence claims SHALL identify the calibration method, calibration population or operating domain, version, date, error measure, and known limits, and SHALL be monitored for calibration drift in deployment.</x:v>
      </x:c>
      <x:c r="D56" s="44" t="str">
        <x:v>1.2 WD</x:v>
      </x:c>
      <x:c r="E56" s="44"/>
      <x:c r="F56" s="44"/>
      <x:c r="G56" s="44" t="str">
        <x:v>AERA-001-1.2WD-20260807.1-APPL-1</x:v>
      </x:c>
      <x:c r="H56" s="44"/>
      <x:c r="I56" s="44"/>
      <x:c r="J56" s="44"/>
      <x:c r="K56" s="44"/>
      <x:c r="L56" s="44"/>
      <x:c r="M56" s="44"/>
      <x:c r="N56" s="76"/>
      <x:c r="O56" s="45" t="str">
        <x:f>IF(OR(E56="",F56="",G56="",H56=""),"INCOMPLETE",IF(AND(H56="NOT APPLICABLE",J56&lt;&gt;""),"ERROR: RESULT SET FOR NOT APPLICABLE",IF(AND(H56="APPLICABLE",J56=""),"INCOMPLETE: RESULT REQUIRED",IF(AND(J56="APPROVED DEVIATION",L56=""),"INCOMPLETE: DEVIATION ID REQUIRED","READY"))))</x:f>
        <x:v>INCOMPLETE</x:v>
      </x:c>
    </x:row>
    <x:row r="57" ht="68" customHeight="1">
      <x:c r="A57" s="43" t="str">
        <x:v>AERA-DA-020</x:v>
      </x:c>
      <x:c r="B57" s="44" t="str">
        <x:v>DA</x:v>
      </x:c>
      <x:c r="C57" s="44" t="str">
        <x:v>Every time or position claim used in authorization SHALL identify its source, reference frame or time scale as applicable, uncertainty, integrity state, age, and whether the source is merely present, monitored, accepted, or actually used in the computed decision.</x:v>
      </x:c>
      <x:c r="D57" s="44" t="str">
        <x:v>1.2 WD</x:v>
      </x:c>
      <x:c r="E57" s="44"/>
      <x:c r="F57" s="44"/>
      <x:c r="G57" s="44" t="str">
        <x:v>AERA-001-1.2WD-20260807.1-APPL-1</x:v>
      </x:c>
      <x:c r="H57" s="44"/>
      <x:c r="I57" s="44"/>
      <x:c r="J57" s="44"/>
      <x:c r="K57" s="44"/>
      <x:c r="L57" s="44"/>
      <x:c r="M57" s="44"/>
      <x:c r="N57" s="76"/>
      <x:c r="O57" s="45" t="str">
        <x:f>IF(OR(E57="",F57="",G57="",H57=""),"INCOMPLETE",IF(AND(H57="NOT APPLICABLE",J57&lt;&gt;""),"ERROR: RESULT SET FOR NOT APPLICABLE",IF(AND(H57="APPLICABLE",J57=""),"INCOMPLETE: RESULT REQUIRED",IF(AND(J57="APPROVED DEVIATION",L57=""),"INCOMPLETE: DEVIATION ID REQUIRED","READY"))))</x:f>
        <x:v>INCOMPLETE</x:v>
      </x:c>
    </x:row>
    <x:row r="58" ht="68" customHeight="1">
      <x:c r="A58" s="43" t="str">
        <x:v>AERA-DA-021</x:v>
      </x:c>
      <x:c r="B58" s="44" t="str">
        <x:v>DA</x:v>
      </x:c>
      <x:c r="C58" s="44" t="str">
        <x:v>Decision classes dependent on PNT SHALL define disagreement thresholds, anomaly detection, holdover or alternate-source behavior, maximum uncertainty, and safe degraded operation; source loss or conflict SHALL NOT silently preserve nominal authority.</x:v>
      </x:c>
      <x:c r="D58" s="44" t="str">
        <x:v>1.2 WD</x:v>
      </x:c>
      <x:c r="E58" s="44"/>
      <x:c r="F58" s="44"/>
      <x:c r="G58" s="44" t="str">
        <x:v>AERA-001-1.2WD-20260807.1-APPL-1</x:v>
      </x:c>
      <x:c r="H58" s="44"/>
      <x:c r="I58" s="44"/>
      <x:c r="J58" s="44"/>
      <x:c r="K58" s="44"/>
      <x:c r="L58" s="44"/>
      <x:c r="M58" s="44"/>
      <x:c r="N58" s="76"/>
      <x:c r="O58" s="45" t="str">
        <x:f>IF(OR(E58="",F58="",G58="",H58=""),"INCOMPLETE",IF(AND(H58="NOT APPLICABLE",J58&lt;&gt;""),"ERROR: RESULT SET FOR NOT APPLICABLE",IF(AND(H58="APPLICABLE",J58=""),"INCOMPLETE: RESULT REQUIRED",IF(AND(J58="APPROVED DEVIATION",L58=""),"INCOMPLETE: DEVIATION ID REQUIRED","READY"))))</x:f>
        <x:v>INCOMPLETE</x:v>
      </x:c>
    </x:row>
    <x:row r="59" ht="68" customHeight="1">
      <x:c r="A59" s="43" t="str">
        <x:v>AERA-DA-022</x:v>
      </x:c>
      <x:c r="B59" s="44" t="str">
        <x:v>DA</x:v>
      </x:c>
      <x:c r="C59" s="44" t="str">
        <x:v>Every material autonomous effect SHALL pass through a policy enforcement mechanism controlled independently from the proposing actor; direct access to an effect interface SHALL be denied unless explicitly justified as a time-bounded emergency mode.</x:v>
      </x:c>
      <x:c r="D59" s="44" t="str">
        <x:v>1.2 WD</x:v>
      </x:c>
      <x:c r="E59" s="44"/>
      <x:c r="F59" s="44"/>
      <x:c r="G59" s="44" t="str">
        <x:v>AERA-001-1.2WD-20260807.1-APPL-1</x:v>
      </x:c>
      <x:c r="H59" s="44"/>
      <x:c r="I59" s="44"/>
      <x:c r="J59" s="44"/>
      <x:c r="K59" s="44"/>
      <x:c r="L59" s="44"/>
      <x:c r="M59" s="44"/>
      <x:c r="N59" s="76"/>
      <x:c r="O59" s="45" t="str">
        <x:f>IF(OR(E59="",F59="",G59="",H59=""),"INCOMPLETE",IF(AND(H59="NOT APPLICABLE",J59&lt;&gt;""),"ERROR: RESULT SET FOR NOT APPLICABLE",IF(AND(H59="APPLICABLE",J59=""),"INCOMPLETE: RESULT REQUIRED",IF(AND(J59="APPROVED DEVIATION",L59=""),"INCOMPLETE: DEVIATION ID REQUIRED","READY"))))</x:f>
        <x:v>INCOMPLETE</x:v>
      </x:c>
    </x:row>
    <x:row r="60" ht="68" customHeight="1">
      <x:c r="A60" s="43" t="str">
        <x:v>AERA-DA-023</x:v>
      </x:c>
      <x:c r="B60" s="44" t="str">
        <x:v>DA</x:v>
      </x:c>
      <x:c r="C60" s="44" t="str">
        <x:v>The Decision Assurance Fabric SHALL use the canonical authorization-disposition vocabulary and semantics specified by AERA-DAF-110 through AERA-DAF-114.</x:v>
      </x:c>
      <x:c r="D60" s="44" t="str">
        <x:v>1.2 WD</x:v>
      </x:c>
      <x:c r="E60" s="44"/>
      <x:c r="F60" s="44"/>
      <x:c r="G60" s="44" t="str">
        <x:v>AERA-001-1.2WD-20260807.1-APPL-1</x:v>
      </x:c>
      <x:c r="H60" s="44"/>
      <x:c r="I60" s="44"/>
      <x:c r="J60" s="44"/>
      <x:c r="K60" s="44"/>
      <x:c r="L60" s="44"/>
      <x:c r="M60" s="44"/>
      <x:c r="N60" s="76"/>
      <x:c r="O60" s="45" t="str">
        <x:f>IF(OR(E60="",F60="",G60="",H60=""),"INCOMPLETE",IF(AND(H60="NOT APPLICABLE",J60&lt;&gt;""),"ERROR: RESULT SET FOR NOT APPLICABLE",IF(AND(H60="APPLICABLE",J60=""),"INCOMPLETE: RESULT REQUIRED",IF(AND(J60="APPROVED DEVIATION",L60=""),"INCOMPLETE: DEVIATION ID REQUIRED","READY"))))</x:f>
        <x:v>INCOMPLETE</x:v>
      </x:c>
    </x:row>
    <x:row r="61" ht="68" customHeight="1">
      <x:c r="A61" s="43" t="str">
        <x:v>AERA-DA-024</x:v>
      </x:c>
      <x:c r="B61" s="44" t="str">
        <x:v>DA</x:v>
      </x:c>
      <x:c r="C61" s="44" t="str">
        <x:v>An authorization SHALL be limited to the exact actor, action, target, tool, parameters, sequence or transaction, context, consequence bound, and validity interval evaluated; bearer authorization not bound to these elements SHALL NOT authorize a material effect.</x:v>
      </x:c>
      <x:c r="D61" s="44" t="str">
        <x:v>1.2 WD</x:v>
      </x:c>
      <x:c r="E61" s="44"/>
      <x:c r="F61" s="44"/>
      <x:c r="G61" s="44" t="str">
        <x:v>AERA-001-1.2WD-20260807.1-APPL-1</x:v>
      </x:c>
      <x:c r="H61" s="44"/>
      <x:c r="I61" s="44"/>
      <x:c r="J61" s="44"/>
      <x:c r="K61" s="44"/>
      <x:c r="L61" s="44"/>
      <x:c r="M61" s="44"/>
      <x:c r="N61" s="76"/>
      <x:c r="O61" s="45" t="str">
        <x:f>IF(OR(E61="",F61="",G61="",H61=""),"INCOMPLETE",IF(AND(H61="NOT APPLICABLE",J61&lt;&gt;""),"ERROR: RESULT SET FOR NOT APPLICABLE",IF(AND(H61="APPLICABLE",J61=""),"INCOMPLETE: RESULT REQUIRED",IF(AND(J61="APPROVED DEVIATION",L61=""),"INCOMPLETE: DEVIATION ID REQUIRED","READY"))))</x:f>
        <x:v>INCOMPLETE</x:v>
      </x:c>
    </x:row>
    <x:row r="62" ht="68" customHeight="1">
      <x:c r="A62" s="43" t="str">
        <x:v>AERA-DA-025</x:v>
      </x:c>
      <x:c r="B62" s="44" t="str">
        <x:v>DA</x:v>
      </x:c>
      <x:c r="C62" s="44" t="str">
        <x:v>Decision Assurance Fabric outage, timeout, overload, or partition SHALL invoke a pre-engineered decision-class degraded mode; unavailability SHALL NOT be interpreted as permission.</x:v>
      </x:c>
      <x:c r="D62" s="44" t="str">
        <x:v>1.2 WD</x:v>
      </x:c>
      <x:c r="E62" s="44"/>
      <x:c r="F62" s="44"/>
      <x:c r="G62" s="44" t="str">
        <x:v>AERA-001-1.2WD-20260807.1-APPL-1</x:v>
      </x:c>
      <x:c r="H62" s="44"/>
      <x:c r="I62" s="44"/>
      <x:c r="J62" s="44"/>
      <x:c r="K62" s="44"/>
      <x:c r="L62" s="44"/>
      <x:c r="M62" s="44"/>
      <x:c r="N62" s="76"/>
      <x:c r="O62" s="45" t="str">
        <x:f>IF(OR(E62="",F62="",G62="",H62=""),"INCOMPLETE",IF(AND(H62="NOT APPLICABLE",J62&lt;&gt;""),"ERROR: RESULT SET FOR NOT APPLICABLE",IF(AND(H62="APPLICABLE",J62=""),"INCOMPLETE: RESULT REQUIRED",IF(AND(J62="APPROVED DEVIATION",L62=""),"INCOMPLETE: DEVIATION ID REQUIRED","READY"))))</x:f>
        <x:v>INCOMPLETE</x:v>
      </x:c>
    </x:row>
    <x:row r="63" ht="68" customHeight="1">
      <x:c r="A63" s="43" t="str">
        <x:v>AERA-DA-026</x:v>
      </x:c>
      <x:c r="B63" s="44" t="str">
        <x:v>DA</x:v>
      </x:c>
      <x:c r="C63" s="44" t="str">
        <x:v>Authorization SHALL be reevaluated when any policy-defined material context changes, including actor integrity, delegation, intent, evidence, PNT state, target state, threat state, or recovery readiness.</x:v>
      </x:c>
      <x:c r="D63" s="44" t="str">
        <x:v>1.2 WD</x:v>
      </x:c>
      <x:c r="E63" s="44"/>
      <x:c r="F63" s="44"/>
      <x:c r="G63" s="44" t="str">
        <x:v>AERA-001-1.2WD-20260807.1-APPL-1</x:v>
      </x:c>
      <x:c r="H63" s="44"/>
      <x:c r="I63" s="44"/>
      <x:c r="J63" s="44"/>
      <x:c r="K63" s="44"/>
      <x:c r="L63" s="44"/>
      <x:c r="M63" s="44"/>
      <x:c r="N63" s="76"/>
      <x:c r="O63" s="45" t="str">
        <x:f>IF(OR(E63="",F63="",G63="",H63=""),"INCOMPLETE",IF(AND(H63="NOT APPLICABLE",J63&lt;&gt;""),"ERROR: RESULT SET FOR NOT APPLICABLE",IF(AND(H63="APPLICABLE",J63=""),"INCOMPLETE: RESULT REQUIRED",IF(AND(J63="APPROVED DEVIATION",L63=""),"INCOMPLETE: DEVIATION ID REQUIRED","READY"))))</x:f>
        <x:v>INCOMPLETE</x:v>
      </x:c>
    </x:row>
    <x:row r="64" ht="68" customHeight="1">
      <x:c r="A64" s="43" t="str">
        <x:v>AERA-DA-027</x:v>
      </x:c>
      <x:c r="B64" s="44" t="str">
        <x:v>DA</x:v>
      </x:c>
      <x:c r="C64" s="44" t="str">
        <x:v>The implementation SHALL evaluate cumulative and interacting effects across time, actors, tools, and targets and enforce rolling budgets or state constraints that prevent decomposition of a prohibited action into individually permitted actions.</x:v>
      </x:c>
      <x:c r="D64" s="44" t="str">
        <x:v>1.2 WD</x:v>
      </x:c>
      <x:c r="E64" s="44"/>
      <x:c r="F64" s="44"/>
      <x:c r="G64" s="44" t="str">
        <x:v>AERA-001-1.2WD-20260807.1-APPL-1</x:v>
      </x:c>
      <x:c r="H64" s="44"/>
      <x:c r="I64" s="44"/>
      <x:c r="J64" s="44"/>
      <x:c r="K64" s="44"/>
      <x:c r="L64" s="44"/>
      <x:c r="M64" s="44"/>
      <x:c r="N64" s="76"/>
      <x:c r="O64" s="45" t="str">
        <x:f>IF(OR(E64="",F64="",G64="",H64=""),"INCOMPLETE",IF(AND(H64="NOT APPLICABLE",J64&lt;&gt;""),"ERROR: RESULT SET FOR NOT APPLICABLE",IF(AND(H64="APPLICABLE",J64=""),"INCOMPLETE: RESULT REQUIRED",IF(AND(J64="APPROVED DEVIATION",L64=""),"INCOMPLETE: DEVIATION ID REQUIRED","READY"))))</x:f>
        <x:v>INCOMPLETE</x:v>
      </x:c>
    </x:row>
    <x:row r="65" ht="68" customHeight="1">
      <x:c r="A65" s="43" t="str">
        <x:v>AERA-DA-028</x:v>
      </x:c>
      <x:c r="B65" s="44" t="str">
        <x:v>DA</x:v>
      </x:c>
      <x:c r="C65" s="44" t="str">
        <x:v>Tool credentials and capabilities SHALL be least-privileged, audience-restricted, target-restricted, action-restricted, time-bounded, and unavailable to the actor outside the authorized transaction.</x:v>
      </x:c>
      <x:c r="D65" s="44" t="str">
        <x:v>1.2 WD</x:v>
      </x:c>
      <x:c r="E65" s="44"/>
      <x:c r="F65" s="44"/>
      <x:c r="G65" s="44" t="str">
        <x:v>AERA-001-1.2WD-20260807.1-APPL-1</x:v>
      </x:c>
      <x:c r="H65" s="44"/>
      <x:c r="I65" s="44"/>
      <x:c r="J65" s="44"/>
      <x:c r="K65" s="44"/>
      <x:c r="L65" s="44"/>
      <x:c r="M65" s="44"/>
      <x:c r="N65" s="76"/>
      <x:c r="O65" s="45" t="str">
        <x:f>IF(OR(E65="",F65="",G65="",H65=""),"INCOMPLETE",IF(AND(H65="NOT APPLICABLE",J65&lt;&gt;""),"ERROR: RESULT SET FOR NOT APPLICABLE",IF(AND(H65="APPLICABLE",J65=""),"INCOMPLETE: RESULT REQUIRED",IF(AND(J65="APPROVED DEVIATION",L65=""),"INCOMPLETE: DEVIATION ID REQUIRED","READY"))))</x:f>
        <x:v>INCOMPLETE</x:v>
      </x:c>
    </x:row>
    <x:row r="66" ht="68" customHeight="1">
      <x:c r="A66" s="43" t="str">
        <x:v>AERA-DA-029</x:v>
      </x:c>
      <x:c r="B66" s="44" t="str">
        <x:v>DA</x:v>
      </x:c>
      <x:c r="C66" s="44" t="str">
        <x:v>A quorum, consensus, or independent-review rule SHALL define independence in terms of controller, model lineage, training data, evidence source, operator, provider, clock, and failure domain; numerical plurality alone SHALL NOT establish independence.</x:v>
      </x:c>
      <x:c r="D66" s="44" t="str">
        <x:v>1.2 WD</x:v>
      </x:c>
      <x:c r="E66" s="44"/>
      <x:c r="F66" s="44"/>
      <x:c r="G66" s="44" t="str">
        <x:v>AERA-001-1.2WD-20260807.1-APPL-1</x:v>
      </x:c>
      <x:c r="H66" s="44"/>
      <x:c r="I66" s="44"/>
      <x:c r="J66" s="44"/>
      <x:c r="K66" s="44"/>
      <x:c r="L66" s="44"/>
      <x:c r="M66" s="44"/>
      <x:c r="N66" s="76"/>
      <x:c r="O66" s="45" t="str">
        <x:f>IF(OR(E66="",F66="",G66="",H66=""),"INCOMPLETE",IF(AND(H66="NOT APPLICABLE",J66&lt;&gt;""),"ERROR: RESULT SET FOR NOT APPLICABLE",IF(AND(H66="APPLICABLE",J66=""),"INCOMPLETE: RESULT REQUIRED",IF(AND(J66="APPROVED DEVIATION",L66=""),"INCOMPLETE: DEVIATION ID REQUIRED","READY"))))</x:f>
        <x:v>INCOMPLETE</x:v>
      </x:c>
    </x:row>
    <x:row r="67" ht="68" customHeight="1">
      <x:c r="A67" s="43" t="str">
        <x:v>AERA-DA-030</x:v>
      </x:c>
      <x:c r="B67" s="44" t="str">
        <x:v>DA</x:v>
      </x:c>
      <x:c r="C67" s="44" t="str">
        <x:v>Results from external AI, optimization, classical-compute, or quantum services SHALL be bound to the submitted request, provider and service version, execution context, time, uncertainty, and validation method; consequential use SHALL have a characterized fallback and independently controlled enforcement path.</x:v>
      </x:c>
      <x:c r="D67" s="44" t="str">
        <x:v>1.2 WD</x:v>
      </x:c>
      <x:c r="E67" s="44"/>
      <x:c r="F67" s="44"/>
      <x:c r="G67" s="44" t="str">
        <x:v>AERA-001-1.2WD-20260807.1-APPL-1</x:v>
      </x:c>
      <x:c r="H67" s="44"/>
      <x:c r="I67" s="44"/>
      <x:c r="J67" s="44"/>
      <x:c r="K67" s="44"/>
      <x:c r="L67" s="44"/>
      <x:c r="M67" s="44"/>
      <x:c r="N67" s="76"/>
      <x:c r="O67" s="45" t="str">
        <x:f>IF(OR(E67="",F67="",G67="",H67=""),"INCOMPLETE",IF(AND(H67="NOT APPLICABLE",J67&lt;&gt;""),"ERROR: RESULT SET FOR NOT APPLICABLE",IF(AND(H67="APPLICABLE",J67=""),"INCOMPLETE: RESULT REQUIRED",IF(AND(J67="APPROVED DEVIATION",L67=""),"INCOMPLETE: DEVIATION ID REQUIRED","READY"))))</x:f>
        <x:v>INCOMPLETE</x:v>
      </x:c>
    </x:row>
    <x:row r="68" ht="68" customHeight="1">
      <x:c r="A68" s="43" t="str">
        <x:v>AERA-DA-031</x:v>
      </x:c>
      <x:c r="B68" s="44" t="str">
        <x:v>DA</x:v>
      </x:c>
      <x:c r="C68" s="44" t="str">
        <x:v>The implementation SHALL retain a tamper-evident causal record linking intent, delegation, actor and tool identity, proposal, evidence, assurance state, policy, disposition, enforcement, observed effect, override, and recovery action.</x:v>
      </x:c>
      <x:c r="D68" s="44" t="str">
        <x:v>1.2 WD</x:v>
      </x:c>
      <x:c r="E68" s="44"/>
      <x:c r="F68" s="44"/>
      <x:c r="G68" s="44" t="str">
        <x:v>AERA-001-1.2WD-20260807.1-APPL-1</x:v>
      </x:c>
      <x:c r="H68" s="44"/>
      <x:c r="I68" s="44"/>
      <x:c r="J68" s="44"/>
      <x:c r="K68" s="44"/>
      <x:c r="L68" s="44"/>
      <x:c r="M68" s="44"/>
      <x:c r="N68" s="76"/>
      <x:c r="O68" s="45" t="str">
        <x:f>IF(OR(E68="",F68="",G68="",H68=""),"INCOMPLETE",IF(AND(H68="NOT APPLICABLE",J68&lt;&gt;""),"ERROR: RESULT SET FOR NOT APPLICABLE",IF(AND(H68="APPLICABLE",J68=""),"INCOMPLETE: RESULT REQUIRED",IF(AND(J68="APPROVED DEVIATION",L68=""),"INCOMPLETE: DEVIATION ID REQUIRED","READY"))))</x:f>
        <x:v>INCOMPLETE</x:v>
      </x:c>
    </x:row>
    <x:row r="69" ht="68" customHeight="1">
      <x:c r="A69" s="43" t="str">
        <x:v>AERA-DA-032</x:v>
      </x:c>
      <x:c r="B69" s="44" t="str">
        <x:v>DA</x:v>
      </x:c>
      <x:c r="C69" s="44" t="str">
        <x:v>Each decision class SHALL define a recovery envelope with detection triggers, containment and disengagement authority, safe states, rollback or compensation actions, required resources, and maximum recovery time; the recovery path SHALL be periodically tested independently of the actor.</x:v>
      </x:c>
      <x:c r="D69" s="44" t="str">
        <x:v>1.2 WD</x:v>
      </x:c>
      <x:c r="E69" s="44"/>
      <x:c r="F69" s="44"/>
      <x:c r="G69" s="44" t="str">
        <x:v>AERA-001-1.2WD-20260807.1-APPL-1</x:v>
      </x:c>
      <x:c r="H69" s="44"/>
      <x:c r="I69" s="44"/>
      <x:c r="J69" s="44"/>
      <x:c r="K69" s="44"/>
      <x:c r="L69" s="44"/>
      <x:c r="M69" s="44"/>
      <x:c r="N69" s="76"/>
      <x:c r="O69" s="45" t="str">
        <x:f>IF(OR(E69="",F69="",G69="",H69=""),"INCOMPLETE",IF(AND(H69="NOT APPLICABLE",J69&lt;&gt;""),"ERROR: RESULT SET FOR NOT APPLICABLE",IF(AND(H69="APPLICABLE",J69=""),"INCOMPLETE: RESULT REQUIRED",IF(AND(J69="APPROVED DEVIATION",L69=""),"INCOMPLETE: DEVIATION ID REQUIRED","READY"))))</x:f>
        <x:v>INCOMPLETE</x:v>
      </x:c>
    </x:row>
    <x:row r="70" ht="68" customHeight="1">
      <x:c r="A70" s="43" t="str">
        <x:v>AERA-DA-033</x:v>
      </x:c>
      <x:c r="B70" s="44" t="str">
        <x:v>DA</x:v>
      </x:c>
      <x:c r="C70" s="44" t="str">
        <x:v>Runtime monitoring SHALL detect changes in actor integrity, authority, policy, evidence quality, calibration, PNT state, action sequence, target state, and recovery readiness and SHALL trigger the prescribed reauthorization or recovery action.</x:v>
      </x:c>
      <x:c r="D70" s="44" t="str">
        <x:v>1.2 WD</x:v>
      </x:c>
      <x:c r="E70" s="44"/>
      <x:c r="F70" s="44"/>
      <x:c r="G70" s="44" t="str">
        <x:v>AERA-001-1.2WD-20260807.1-APPL-1</x:v>
      </x:c>
      <x:c r="H70" s="44"/>
      <x:c r="I70" s="44"/>
      <x:c r="J70" s="44"/>
      <x:c r="K70" s="44"/>
      <x:c r="L70" s="44"/>
      <x:c r="M70" s="44"/>
      <x:c r="N70" s="76"/>
      <x:c r="O70" s="45" t="str">
        <x:f>IF(OR(E70="",F70="",G70="",H70=""),"INCOMPLETE",IF(AND(H70="NOT APPLICABLE",J70&lt;&gt;""),"ERROR: RESULT SET FOR NOT APPLICABLE",IF(AND(H70="APPLICABLE",J70=""),"INCOMPLETE: RESULT REQUIRED",IF(AND(J70="APPROVED DEVIATION",L70=""),"INCOMPLETE: DEVIATION ID REQUIRED","READY"))))</x:f>
        <x:v>INCOMPLETE</x:v>
      </x:c>
    </x:row>
    <x:row r="71" ht="68" customHeight="1">
      <x:c r="A71" s="43" t="str">
        <x:v>AERA-DA-034</x:v>
      </x:c>
      <x:c r="B71" s="44" t="str">
        <x:v>DA</x:v>
      </x:c>
      <x:c r="C71" s="44" t="str">
        <x:v>Any update that can change autonomous behavior - including model, prompt, policy, memory, data, tool, dependency, or threshold changes - SHALL be versioned, provenance-bound, tested, approved at the applicable consequence level, observable after release, and reversible.</x:v>
      </x:c>
      <x:c r="D71" s="44" t="str">
        <x:v>1.2 WD</x:v>
      </x:c>
      <x:c r="E71" s="44"/>
      <x:c r="F71" s="44"/>
      <x:c r="G71" s="44" t="str">
        <x:v>AERA-001-1.2WD-20260807.1-APPL-1</x:v>
      </x:c>
      <x:c r="H71" s="44"/>
      <x:c r="I71" s="44"/>
      <x:c r="J71" s="44"/>
      <x:c r="K71" s="44"/>
      <x:c r="L71" s="44"/>
      <x:c r="M71" s="44"/>
      <x:c r="N71" s="76"/>
      <x:c r="O71" s="45" t="str">
        <x:f>IF(OR(E71="",F71="",G71="",H71=""),"INCOMPLETE",IF(AND(H71="NOT APPLICABLE",J71&lt;&gt;""),"ERROR: RESULT SET FOR NOT APPLICABLE",IF(AND(H71="APPLICABLE",J71=""),"INCOMPLETE: RESULT REQUIRED",IF(AND(J71="APPROVED DEVIATION",L71=""),"INCOMPLETE: DEVIATION ID REQUIRED","READY"))))</x:f>
        <x:v>INCOMPLETE</x:v>
      </x:c>
    </x:row>
    <x:row r="72" ht="68" customHeight="1">
      <x:c r="A72" s="43" t="str">
        <x:v>AERA-DA-035</x:v>
      </x:c>
      <x:c r="B72" s="44" t="str">
        <x:v>DA</x:v>
      </x:c>
      <x:c r="C72" s="44" t="str">
        <x:v>Verification and validation SHALL exercise every applicable threat in DAT-01 through DAT-25 under nominal, boundary, adversarial, degraded, partitioned, common-mode, and recovery conditions proportional to consequence; untested threats SHALL remain open assurance claims.</x:v>
      </x:c>
      <x:c r="D72" s="44" t="str">
        <x:v>1.2 WD</x:v>
      </x:c>
      <x:c r="E72" s="44"/>
      <x:c r="F72" s="44"/>
      <x:c r="G72" s="44" t="str">
        <x:v>AERA-001-1.2WD-20260807.1-APPL-1</x:v>
      </x:c>
      <x:c r="H72" s="44"/>
      <x:c r="I72" s="44"/>
      <x:c r="J72" s="44"/>
      <x:c r="K72" s="44"/>
      <x:c r="L72" s="44"/>
      <x:c r="M72" s="44"/>
      <x:c r="N72" s="76"/>
      <x:c r="O72" s="45" t="str">
        <x:f>IF(OR(E72="",F72="",G72="",H72=""),"INCOMPLETE",IF(AND(H72="NOT APPLICABLE",J72&lt;&gt;""),"ERROR: RESULT SET FOR NOT APPLICABLE",IF(AND(H72="APPLICABLE",J72=""),"INCOMPLETE: RESULT REQUIRED",IF(AND(J72="APPROVED DEVIATION",L72=""),"INCOMPLETE: DEVIATION ID REQUIRED","READY"))))</x:f>
        <x:v>INCOMPLETE</x:v>
      </x:c>
    </x:row>
    <x:row r="73" ht="68" customHeight="1">
      <x:c r="A73" s="43" t="str">
        <x:v>AERA-DA-036</x:v>
      </x:c>
      <x:c r="B73" s="44" t="str">
        <x:v>DA</x:v>
      </x:c>
      <x:c r="C73" s="44" t="str">
        <x:v>The organization SHALL maintain an inventory of cryptographic uses supporting delegation, identity, evidence, authorization, audit, communications, and recovery; assess confidentiality and signature exposure periods; plan crypto-agile migration; select applicable standardized algorithms and parameters; track authoritative errata; and verify implementation, protocol, interoperability, performance, and validation status before claiming post-quantum protection.</x:v>
      </x:c>
      <x:c r="D73" s="44" t="str">
        <x:v>1.2 WD</x:v>
      </x:c>
      <x:c r="E73" s="44"/>
      <x:c r="F73" s="44"/>
      <x:c r="G73" s="44" t="str">
        <x:v>AERA-001-1.2WD-20260807.1-APPL-1</x:v>
      </x:c>
      <x:c r="H73" s="44"/>
      <x:c r="I73" s="44"/>
      <x:c r="J73" s="44"/>
      <x:c r="K73" s="44"/>
      <x:c r="L73" s="44"/>
      <x:c r="M73" s="44"/>
      <x:c r="N73" s="76"/>
      <x:c r="O73" s="45" t="str">
        <x:f>IF(OR(E73="",F73="",G73="",H73=""),"INCOMPLETE",IF(AND(H73="NOT APPLICABLE",J73&lt;&gt;""),"ERROR: RESULT SET FOR NOT APPLICABLE",IF(AND(H73="APPLICABLE",J73=""),"INCOMPLETE: RESULT REQUIRED",IF(AND(J73="APPROVED DEVIATION",L73=""),"INCOMPLETE: DEVIATION ID REQUIRED","READY"))))</x:f>
        <x:v>INCOMPLETE</x:v>
      </x:c>
    </x:row>
    <x:row r="74" ht="68" customHeight="1">
      <x:c r="A74" s="43" t="str">
        <x:v>AERA-DAF-001</x:v>
      </x:c>
      <x:c r="B74" s="44" t="str">
        <x:v>DAF</x:v>
      </x:c>
      <x:c r="C74" s="44" t="str">
        <x:v>Before material effect, the DAF SHALL evaluate exact proposal, actor/integrity, authority, intent, target/context, consequence, evidence/provenance, cyber state, time, dependencies, approvals, and recovery.</x:v>
      </x:c>
      <x:c r="D74" s="44" t="str">
        <x:v>1.2 WD</x:v>
      </x:c>
      <x:c r="E74" s="44"/>
      <x:c r="F74" s="44"/>
      <x:c r="G74" s="44" t="str">
        <x:v>AERA-001-1.2WD-20260807.1-APPL-1</x:v>
      </x:c>
      <x:c r="H74" s="44"/>
      <x:c r="I74" s="44"/>
      <x:c r="J74" s="44"/>
      <x:c r="K74" s="44"/>
      <x:c r="L74" s="44"/>
      <x:c r="M74" s="44"/>
      <x:c r="N74" s="76"/>
      <x:c r="O74" s="45" t="str">
        <x:f>IF(OR(E74="",F74="",G74="",H74=""),"INCOMPLETE",IF(AND(H74="NOT APPLICABLE",J74&lt;&gt;""),"ERROR: RESULT SET FOR NOT APPLICABLE",IF(AND(H74="APPLICABLE",J74=""),"INCOMPLETE: RESULT REQUIRED",IF(AND(J74="APPROVED DEVIATION",L74=""),"INCOMPLETE: DEVIATION ID REQUIRED","READY"))))</x:f>
        <x:v>INCOMPLETE</x:v>
      </x:c>
    </x:row>
    <x:row r="75" ht="68" customHeight="1">
      <x:c r="A75" s="43" t="str">
        <x:v>AERA-DAF-002</x:v>
      </x:c>
      <x:c r="B75" s="44" t="str">
        <x:v>DAF</x:v>
      </x:c>
      <x:c r="C75" s="44" t="str">
        <x:v>A permit SHALL be integrity-bound to actor, action, target, parameters, context, evidence, authority, intent, policy, consequence, and validity, and invalidated by expiry or material bound-element change.</x:v>
      </x:c>
      <x:c r="D75" s="44" t="str">
        <x:v>1.2 WD</x:v>
      </x:c>
      <x:c r="E75" s="44"/>
      <x:c r="F75" s="44"/>
      <x:c r="G75" s="44" t="str">
        <x:v>AERA-001-1.2WD-20260807.1-APPL-1</x:v>
      </x:c>
      <x:c r="H75" s="44"/>
      <x:c r="I75" s="44"/>
      <x:c r="J75" s="44"/>
      <x:c r="K75" s="44"/>
      <x:c r="L75" s="44"/>
      <x:c r="M75" s="44"/>
      <x:c r="N75" s="76"/>
      <x:c r="O75" s="45" t="str">
        <x:f>IF(OR(E75="",F75="",G75="",H75=""),"INCOMPLETE",IF(AND(H75="NOT APPLICABLE",J75&lt;&gt;""),"ERROR: RESULT SET FOR NOT APPLICABLE",IF(AND(H75="APPLICABLE",J75=""),"INCOMPLETE: RESULT REQUIRED",IF(AND(J75="APPROVED DEVIATION",L75=""),"INCOMPLETE: DEVIATION ID REQUIRED","READY"))))</x:f>
        <x:v>INCOMPLETE</x:v>
      </x:c>
    </x:row>
    <x:row r="76" ht="68" customHeight="1">
      <x:c r="A76" s="43" t="str">
        <x:v>AERA-DAF-003</x:v>
      </x:c>
      <x:c r="B76" s="44" t="str">
        <x:v>DAF</x:v>
      </x:c>
      <x:c r="C76" s="44" t="str">
        <x:v>A Decision Assurance Fabric implementation SHALL document and test a one-to-one mapping from any external disposition label to the canonical AERA dispositions defined by AERA-DAF-110.</x:v>
      </x:c>
      <x:c r="D76" s="44" t="str">
        <x:v>1.2 WD</x:v>
      </x:c>
      <x:c r="E76" s="44"/>
      <x:c r="F76" s="44"/>
      <x:c r="G76" s="44" t="str">
        <x:v>AERA-001-1.2WD-20260807.1-APPL-1</x:v>
      </x:c>
      <x:c r="H76" s="44"/>
      <x:c r="I76" s="44"/>
      <x:c r="J76" s="44"/>
      <x:c r="K76" s="44"/>
      <x:c r="L76" s="44"/>
      <x:c r="M76" s="44"/>
      <x:c r="N76" s="76"/>
      <x:c r="O76" s="45" t="str">
        <x:f>IF(OR(E76="",F76="",G76="",H76=""),"INCOMPLETE",IF(AND(H76="NOT APPLICABLE",J76&lt;&gt;""),"ERROR: RESULT SET FOR NOT APPLICABLE",IF(AND(H76="APPLICABLE",J76=""),"INCOMPLETE: RESULT REQUIRED",IF(AND(J76="APPROVED DEVIATION",L76=""),"INCOMPLETE: DEVIATION ID REQUIRED","READY"))))</x:f>
        <x:v>INCOMPLETE</x:v>
      </x:c>
    </x:row>
    <x:row r="77" ht="68" customHeight="1">
      <x:c r="A77" s="43" t="str">
        <x:v>AERA-DAF-004</x:v>
      </x:c>
      <x:c r="B77" s="44" t="str">
        <x:v>DAF</x:v>
      </x:c>
      <x:c r="C77" s="44" t="str">
        <x:v>The proposer SHALL NOT be sole authority, evidence source, and enforcement for its material effect; consequence-appropriate separation SHALL be verified.</x:v>
      </x:c>
      <x:c r="D77" s="44" t="str">
        <x:v>1.2 WD</x:v>
      </x:c>
      <x:c r="E77" s="44"/>
      <x:c r="F77" s="44"/>
      <x:c r="G77" s="44" t="str">
        <x:v>AERA-001-1.2WD-20260807.1-APPL-1</x:v>
      </x:c>
      <x:c r="H77" s="44"/>
      <x:c r="I77" s="44"/>
      <x:c r="J77" s="44"/>
      <x:c r="K77" s="44"/>
      <x:c r="L77" s="44"/>
      <x:c r="M77" s="44"/>
      <x:c r="N77" s="76"/>
      <x:c r="O77" s="45" t="str">
        <x:f>IF(OR(E77="",F77="",G77="",H77=""),"INCOMPLETE",IF(AND(H77="NOT APPLICABLE",J77&lt;&gt;""),"ERROR: RESULT SET FOR NOT APPLICABLE",IF(AND(H77="APPLICABLE",J77=""),"INCOMPLETE: RESULT REQUIRED",IF(AND(J77="APPROVED DEVIATION",L77=""),"INCOMPLETE: DEVIATION ID REQUIRED","READY"))))</x:f>
        <x:v>INCOMPLETE</x:v>
      </x:c>
    </x:row>
    <x:row r="78" ht="68" customHeight="1">
      <x:c r="A78" s="43" t="str">
        <x:v>AERA-DAF-005</x:v>
      </x:c>
      <x:c r="B78" s="44" t="str">
        <x:v>DAF</x:v>
      </x:c>
      <x:c r="C78" s="44" t="str">
        <x:v>Each class SHALL define/test DAF loss, partition, degradation, and staleness behavior; assurance loss SHALL NOT create implicit or over-valid authorization.</x:v>
      </x:c>
      <x:c r="D78" s="44" t="str">
        <x:v>1.2 WD</x:v>
      </x:c>
      <x:c r="E78" s="44"/>
      <x:c r="F78" s="44"/>
      <x:c r="G78" s="44" t="str">
        <x:v>AERA-001-1.2WD-20260807.1-APPL-1</x:v>
      </x:c>
      <x:c r="H78" s="44"/>
      <x:c r="I78" s="44"/>
      <x:c r="J78" s="44"/>
      <x:c r="K78" s="44"/>
      <x:c r="L78" s="44"/>
      <x:c r="M78" s="44"/>
      <x:c r="N78" s="76"/>
      <x:c r="O78" s="45" t="str">
        <x:f>IF(OR(E78="",F78="",G78="",H78=""),"INCOMPLETE",IF(AND(H78="NOT APPLICABLE",J78&lt;&gt;""),"ERROR: RESULT SET FOR NOT APPLICABLE",IF(AND(H78="APPLICABLE",J78=""),"INCOMPLETE: RESULT REQUIRED",IF(AND(J78="APPROVED DEVIATION",L78=""),"INCOMPLETE: DEVIATION ID REQUIRED","READY"))))</x:f>
        <x:v>INCOMPLETE</x:v>
      </x:c>
    </x:row>
    <x:row r="79" ht="68" customHeight="1">
      <x:c r="A79" s="43" t="str">
        <x:v>AERA-DAF-101</x:v>
      </x:c>
      <x:c r="B79" s="44" t="str">
        <x:v>DAF</x:v>
      </x:c>
      <x:c r="C79" s="44" t="str">
        <x:v>The DAF SHALL establish a globally unique decision-transaction identifier for each proposed material effect before assurance evaluation begins.</x:v>
      </x:c>
      <x:c r="D79" s="44" t="str">
        <x:v>1.2 WD</x:v>
      </x:c>
      <x:c r="E79" s="44"/>
      <x:c r="F79" s="44"/>
      <x:c r="G79" s="44" t="str">
        <x:v>AERA-001-1.2WD-20260807.1-APPL-1</x:v>
      </x:c>
      <x:c r="H79" s="44"/>
      <x:c r="I79" s="44"/>
      <x:c r="J79" s="44"/>
      <x:c r="K79" s="44"/>
      <x:c r="L79" s="44"/>
      <x:c r="M79" s="44"/>
      <x:c r="N79" s="76"/>
      <x:c r="O79" s="45" t="str">
        <x:f>IF(OR(E79="",F79="",G79="",H79=""),"INCOMPLETE",IF(AND(H79="NOT APPLICABLE",J79&lt;&gt;""),"ERROR: RESULT SET FOR NOT APPLICABLE",IF(AND(H79="APPLICABLE",J79=""),"INCOMPLETE: RESULT REQUIRED",IF(AND(J79="APPROVED DEVIATION",L79=""),"INCOMPLETE: DEVIATION ID REQUIRED","READY"))))</x:f>
        <x:v>INCOMPLETE</x:v>
      </x:c>
    </x:row>
    <x:row r="80" ht="68" customHeight="1">
      <x:c r="A80" s="43" t="str">
        <x:v>AERA-DAF-102</x:v>
      </x:c>
      <x:c r="B80" s="44" t="str">
        <x:v>DAF</x:v>
      </x:c>
      <x:c r="C80" s="44" t="str">
        <x:v>The DAF SHALL canonicalize the actor, action, parameters, target, purpose, context, and execution window before assurance evaluation.</x:v>
      </x:c>
      <x:c r="D80" s="44" t="str">
        <x:v>1.2 WD</x:v>
      </x:c>
      <x:c r="E80" s="44"/>
      <x:c r="F80" s="44"/>
      <x:c r="G80" s="44" t="str">
        <x:v>AERA-001-1.2WD-20260807.1-APPL-1</x:v>
      </x:c>
      <x:c r="H80" s="44"/>
      <x:c r="I80" s="44"/>
      <x:c r="J80" s="44"/>
      <x:c r="K80" s="44"/>
      <x:c r="L80" s="44"/>
      <x:c r="M80" s="44"/>
      <x:c r="N80" s="76"/>
      <x:c r="O80" s="45" t="str">
        <x:f>IF(OR(E80="",F80="",G80="",H80=""),"INCOMPLETE",IF(AND(H80="NOT APPLICABLE",J80&lt;&gt;""),"ERROR: RESULT SET FOR NOT APPLICABLE",IF(AND(H80="APPLICABLE",J80=""),"INCOMPLETE: RESULT REQUIRED",IF(AND(J80="APPROVED DEVIATION",L80=""),"INCOMPLETE: DEVIATION ID REQUIRED","READY"))))</x:f>
        <x:v>INCOMPLETE</x:v>
      </x:c>
    </x:row>
    <x:row r="81" ht="68" customHeight="1">
      <x:c r="A81" s="43" t="str">
        <x:v>AERA-DAF-103</x:v>
      </x:c>
      <x:c r="B81" s="44" t="str">
        <x:v>DAF</x:v>
      </x:c>
      <x:c r="C81" s="44" t="str">
        <x:v>The DAF SHALL bind each evaluation and authorization artifact to the canonical proposal, effective authority chain, intent version, evidence snapshot, policy and evaluator versions, consequence class, and validity limits.</x:v>
      </x:c>
      <x:c r="D81" s="44" t="str">
        <x:v>1.2 WD</x:v>
      </x:c>
      <x:c r="E81" s="44"/>
      <x:c r="F81" s="44"/>
      <x:c r="G81" s="44" t="str">
        <x:v>AERA-001-1.2WD-20260807.1-APPL-1</x:v>
      </x:c>
      <x:c r="H81" s="44"/>
      <x:c r="I81" s="44"/>
      <x:c r="J81" s="44"/>
      <x:c r="K81" s="44"/>
      <x:c r="L81" s="44"/>
      <x:c r="M81" s="44"/>
      <x:c r="N81" s="76"/>
      <x:c r="O81" s="45" t="str">
        <x:f>IF(OR(E81="",F81="",G81="",H81=""),"INCOMPLETE",IF(AND(H81="NOT APPLICABLE",J81&lt;&gt;""),"ERROR: RESULT SET FOR NOT APPLICABLE",IF(AND(H81="APPLICABLE",J81=""),"INCOMPLETE: RESULT REQUIRED",IF(AND(J81="APPROVED DEVIATION",L81=""),"INCOMPLETE: DEVIATION ID REQUIRED","READY"))))</x:f>
        <x:v>INCOMPLETE</x:v>
      </x:c>
    </x:row>
    <x:row r="82" ht="68" customHeight="1">
      <x:c r="A82" s="43" t="str">
        <x:v>AERA-DAF-104</x:v>
      </x:c>
      <x:c r="B82" s="44" t="str">
        <x:v>DAF</x:v>
      </x:c>
      <x:c r="C82" s="44" t="str">
        <x:v>Any material change to a bound transaction input SHALL invalidate the prior permit or cause re-evaluation and issuance of a new disposition before any further effect.</x:v>
      </x:c>
      <x:c r="D82" s="44" t="str">
        <x:v>1.2 WD</x:v>
      </x:c>
      <x:c r="E82" s="44"/>
      <x:c r="F82" s="44"/>
      <x:c r="G82" s="44" t="str">
        <x:v>AERA-001-1.2WD-20260807.1-APPL-1</x:v>
      </x:c>
      <x:c r="H82" s="44"/>
      <x:c r="I82" s="44"/>
      <x:c r="J82" s="44"/>
      <x:c r="K82" s="44"/>
      <x:c r="L82" s="44"/>
      <x:c r="M82" s="44"/>
      <x:c r="N82" s="76"/>
      <x:c r="O82" s="45" t="str">
        <x:f>IF(OR(E82="",F82="",G82="",H82=""),"INCOMPLETE",IF(AND(H82="NOT APPLICABLE",J82&lt;&gt;""),"ERROR: RESULT SET FOR NOT APPLICABLE",IF(AND(H82="APPLICABLE",J82=""),"INCOMPLETE: RESULT REQUIRED",IF(AND(J82="APPROVED DEVIATION",L82=""),"INCOMPLETE: DEVIATION ID REQUIRED","READY"))))</x:f>
        <x:v>INCOMPLETE</x:v>
      </x:c>
    </x:row>
    <x:row r="83" ht="68" customHeight="1">
      <x:c r="A83" s="43" t="str">
        <x:v>AERA-DAF-105</x:v>
      </x:c>
      <x:c r="B83" s="44" t="str">
        <x:v>DAF</x:v>
      </x:c>
      <x:c r="C83" s="44" t="str">
        <x:v>The DAF SHALL represent each required assurance claim as an independently visible verdict and SHALL NOT conceal a NOT-SATISFIED or INDETERMINATE hard gate in an aggregate score.</x:v>
      </x:c>
      <x:c r="D83" s="44" t="str">
        <x:v>1.2 WD</x:v>
      </x:c>
      <x:c r="E83" s="44"/>
      <x:c r="F83" s="44"/>
      <x:c r="G83" s="44" t="str">
        <x:v>AERA-001-1.2WD-20260807.1-APPL-1</x:v>
      </x:c>
      <x:c r="H83" s="44"/>
      <x:c r="I83" s="44"/>
      <x:c r="J83" s="44"/>
      <x:c r="K83" s="44"/>
      <x:c r="L83" s="44"/>
      <x:c r="M83" s="44"/>
      <x:c r="N83" s="76"/>
      <x:c r="O83" s="45" t="str">
        <x:f>IF(OR(E83="",F83="",G83="",H83=""),"INCOMPLETE",IF(AND(H83="NOT APPLICABLE",J83&lt;&gt;""),"ERROR: RESULT SET FOR NOT APPLICABLE",IF(AND(H83="APPLICABLE",J83=""),"INCOMPLETE: RESULT REQUIRED",IF(AND(J83="APPROVED DEVIATION",L83=""),"INCOMPLETE: DEVIATION ID REQUIRED","READY"))))</x:f>
        <x:v>INCOMPLETE</x:v>
      </x:c>
    </x:row>
    <x:row r="84" ht="68" customHeight="1">
      <x:c r="A84" s="43" t="str">
        <x:v>AERA-DAF-106</x:v>
      </x:c>
      <x:c r="B84" s="44" t="str">
        <x:v>DAF</x:v>
      </x:c>
      <x:c r="C84" s="44" t="str">
        <x:v>Each assurance-claim result SHALL identify the claim, verdict, acceptance criterion, supporting and contrary evidence, limitations, evaluator identity and version, assessment time, and validity interval.</x:v>
      </x:c>
      <x:c r="D84" s="44" t="str">
        <x:v>1.2 WD</x:v>
      </x:c>
      <x:c r="E84" s="44"/>
      <x:c r="F84" s="44"/>
      <x:c r="G84" s="44" t="str">
        <x:v>AERA-001-1.2WD-20260807.1-APPL-1</x:v>
      </x:c>
      <x:c r="H84" s="44"/>
      <x:c r="I84" s="44"/>
      <x:c r="J84" s="44"/>
      <x:c r="K84" s="44"/>
      <x:c r="L84" s="44"/>
      <x:c r="M84" s="44"/>
      <x:c r="N84" s="76"/>
      <x:c r="O84" s="45" t="str">
        <x:f>IF(OR(E84="",F84="",G84="",H84=""),"INCOMPLETE",IF(AND(H84="NOT APPLICABLE",J84&lt;&gt;""),"ERROR: RESULT SET FOR NOT APPLICABLE",IF(AND(H84="APPLICABLE",J84=""),"INCOMPLETE: RESULT REQUIRED",IF(AND(J84="APPROVED DEVIATION",L84=""),"INCOMPLETE: DEVIATION ID REQUIRED","READY"))))</x:f>
        <x:v>INCOMPLETE</x:v>
      </x:c>
    </x:row>
    <x:row r="85" ht="68" customHeight="1">
      <x:c r="A85" s="43" t="str">
        <x:v>AERA-DAF-107</x:v>
      </x:c>
      <x:c r="B85" s="44" t="str">
        <x:v>DAF</x:v>
      </x:c>
      <x:c r="C85" s="44" t="str">
        <x:v>The DAF SHALL distinguish SATISFIED, NOT-SATISFIED, and INDETERMINATE verdicts and SHALL NOT interpret NOT-SATISFIED or INDETERMINATE as SATISFIED.</x:v>
      </x:c>
      <x:c r="D85" s="44" t="str">
        <x:v>1.2 WD</x:v>
      </x:c>
      <x:c r="E85" s="44"/>
      <x:c r="F85" s="44"/>
      <x:c r="G85" s="44" t="str">
        <x:v>AERA-001-1.2WD-20260807.1-APPL-1</x:v>
      </x:c>
      <x:c r="H85" s="44"/>
      <x:c r="I85" s="44"/>
      <x:c r="J85" s="44"/>
      <x:c r="K85" s="44"/>
      <x:c r="L85" s="44"/>
      <x:c r="M85" s="44"/>
      <x:c r="N85" s="76"/>
      <x:c r="O85" s="45" t="str">
        <x:f>IF(OR(E85="",F85="",G85="",H85=""),"INCOMPLETE",IF(AND(H85="NOT APPLICABLE",J85&lt;&gt;""),"ERROR: RESULT SET FOR NOT APPLICABLE",IF(AND(H85="APPLICABLE",J85=""),"INCOMPLETE: RESULT REQUIRED",IF(AND(J85="APPROVED DEVIATION",L85=""),"INCOMPLETE: DEVIATION ID REQUIRED","READY"))))</x:f>
        <x:v>INCOMPLETE</x:v>
      </x:c>
    </x:row>
    <x:row r="86" ht="68" customHeight="1">
      <x:c r="A86" s="43" t="str">
        <x:v>AERA-DAF-108</x:v>
      </x:c>
      <x:c r="B86" s="44" t="str">
        <x:v>DAF</x:v>
      </x:c>
      <x:c r="C86" s="44" t="str">
        <x:v>For each decision type and consequence class, policy SHALL identify hard gates, compensable dimensions, prohibited trade-offs, approving authorities, and the conditions and validity limits for any permitted trade-off.</x:v>
      </x:c>
      <x:c r="D86" s="44" t="str">
        <x:v>1.2 WD</x:v>
      </x:c>
      <x:c r="E86" s="44"/>
      <x:c r="F86" s="44"/>
      <x:c r="G86" s="44" t="str">
        <x:v>AERA-001-1.2WD-20260807.1-APPL-1</x:v>
      </x:c>
      <x:c r="H86" s="44"/>
      <x:c r="I86" s="44"/>
      <x:c r="J86" s="44"/>
      <x:c r="K86" s="44"/>
      <x:c r="L86" s="44"/>
      <x:c r="M86" s="44"/>
      <x:c r="N86" s="76"/>
      <x:c r="O86" s="45" t="str">
        <x:f>IF(OR(E86="",F86="",G86="",H86=""),"INCOMPLETE",IF(AND(H86="NOT APPLICABLE",J86&lt;&gt;""),"ERROR: RESULT SET FOR NOT APPLICABLE",IF(AND(H86="APPLICABLE",J86=""),"INCOMPLETE: RESULT REQUIRED",IF(AND(J86="APPROVED DEVIATION",L86=""),"INCOMPLETE: DEVIATION ID REQUIRED","READY"))))</x:f>
        <x:v>INCOMPLETE</x:v>
      </x:c>
    </x:row>
    <x:row r="87" ht="68" customHeight="1">
      <x:c r="A87" s="43" t="str">
        <x:v>AERA-DAF-109</x:v>
      </x:c>
      <x:c r="B87" s="44" t="str">
        <x:v>DAF</x:v>
      </x:c>
      <x:c r="C87" s="44" t="str">
        <x:v>Each permitted trade-off among assurance dimensions SHALL identify the accepted degradation or loss, compensating controls and their evidence, applicable decision types and consequence classes, accountable approving authority, validity, and reassessment triggers.</x:v>
      </x:c>
      <x:c r="D87" s="44" t="str">
        <x:v>1.2 WD</x:v>
      </x:c>
      <x:c r="E87" s="44"/>
      <x:c r="F87" s="44"/>
      <x:c r="G87" s="44" t="str">
        <x:v>AERA-001-1.2WD-20260807.1-APPL-1</x:v>
      </x:c>
      <x:c r="H87" s="44"/>
      <x:c r="I87" s="44"/>
      <x:c r="J87" s="44"/>
      <x:c r="K87" s="44"/>
      <x:c r="L87" s="44"/>
      <x:c r="M87" s="44"/>
      <x:c r="N87" s="76"/>
      <x:c r="O87" s="45" t="str">
        <x:f>IF(OR(E87="",F87="",G87="",H87=""),"INCOMPLETE",IF(AND(H87="NOT APPLICABLE",J87&lt;&gt;""),"ERROR: RESULT SET FOR NOT APPLICABLE",IF(AND(H87="APPLICABLE",J87=""),"INCOMPLETE: RESULT REQUIRED",IF(AND(J87="APPROVED DEVIATION",L87=""),"INCOMPLETE: DEVIATION ID REQUIRED","READY"))))</x:f>
        <x:v>INCOMPLETE</x:v>
      </x:c>
    </x:row>
    <x:row r="88" ht="68" customHeight="1">
      <x:c r="A88" s="43" t="str">
        <x:v>AERA-DAF-110</x:v>
      </x:c>
      <x:c r="B88" s="44" t="str">
        <x:v>DAF</x:v>
      </x:c>
      <x:c r="C88" s="44" t="str">
        <x:v>The DAF SHALL support the dispositions PERMIT, PERMIT-WITH-CONSTRAINTS, DEFER, ESCALATE, SIMULATE, QUARANTINE, and DENY with the semantics defined in Section 24; an implementation MAY use different external labels only when it documents a one-to-one semantic mapping.</x:v>
      </x:c>
      <x:c r="D88" s="44" t="str">
        <x:v>1.2 WD</x:v>
      </x:c>
      <x:c r="E88" s="44"/>
      <x:c r="F88" s="44"/>
      <x:c r="G88" s="44" t="str">
        <x:v>AERA-001-1.2WD-20260807.1-APPL-1</x:v>
      </x:c>
      <x:c r="H88" s="44"/>
      <x:c r="I88" s="44"/>
      <x:c r="J88" s="44"/>
      <x:c r="K88" s="44"/>
      <x:c r="L88" s="44"/>
      <x:c r="M88" s="44"/>
      <x:c r="N88" s="76"/>
      <x:c r="O88" s="45" t="str">
        <x:f>IF(OR(E88="",F88="",G88="",H88=""),"INCOMPLETE",IF(AND(H88="NOT APPLICABLE",J88&lt;&gt;""),"ERROR: RESULT SET FOR NOT APPLICABLE",IF(AND(H88="APPLICABLE",J88=""),"INCOMPLETE: RESULT REQUIRED",IF(AND(J88="APPROVED DEVIATION",L88=""),"INCOMPLETE: DEVIATION ID REQUIRED","READY"))))</x:f>
        <x:v>INCOMPLETE</x:v>
      </x:c>
    </x:row>
    <x:row r="89" ht="68" customHeight="1">
      <x:c r="A89" s="43" t="str">
        <x:v>AERA-DAF-111</x:v>
      </x:c>
      <x:c r="B89" s="44" t="str">
        <x:v>DAF</x:v>
      </x:c>
      <x:c r="C89" s="44" t="str">
        <x:v>A PERMIT-WITH-CONSTRAINTS disposition SHALL bind and enforce the narrowed proposal; it SHALL NOT authorize the original unconstrained proposal.</x:v>
      </x:c>
      <x:c r="D89" s="44" t="str">
        <x:v>1.2 WD</x:v>
      </x:c>
      <x:c r="E89" s="44"/>
      <x:c r="F89" s="44"/>
      <x:c r="G89" s="44" t="str">
        <x:v>AERA-001-1.2WD-20260807.1-APPL-1</x:v>
      </x:c>
      <x:c r="H89" s="44"/>
      <x:c r="I89" s="44"/>
      <x:c r="J89" s="44"/>
      <x:c r="K89" s="44"/>
      <x:c r="L89" s="44"/>
      <x:c r="M89" s="44"/>
      <x:c r="N89" s="76"/>
      <x:c r="O89" s="45" t="str">
        <x:f>IF(OR(E89="",F89="",G89="",H89=""),"INCOMPLETE",IF(AND(H89="NOT APPLICABLE",J89&lt;&gt;""),"ERROR: RESULT SET FOR NOT APPLICABLE",IF(AND(H89="APPLICABLE",J89=""),"INCOMPLETE: RESULT REQUIRED",IF(AND(J89="APPROVED DEVIATION",L89=""),"INCOMPLETE: DEVIATION ID REQUIRED","READY"))))</x:f>
        <x:v>INCOMPLETE</x:v>
      </x:c>
    </x:row>
    <x:row r="90" ht="68" customHeight="1">
      <x:c r="A90" s="43" t="str">
        <x:v>AERA-DAF-112</x:v>
      </x:c>
      <x:c r="B90" s="44" t="str">
        <x:v>DAF</x:v>
      </x:c>
      <x:c r="C90" s="44" t="str">
        <x:v>DEFER, ESCALATE, SIMULATE, QUARANTINE, and DENY SHALL NOT be accepted as authorization for an operational effect.</x:v>
      </x:c>
      <x:c r="D90" s="44" t="str">
        <x:v>1.2 WD</x:v>
      </x:c>
      <x:c r="E90" s="44"/>
      <x:c r="F90" s="44"/>
      <x:c r="G90" s="44" t="str">
        <x:v>AERA-001-1.2WD-20260807.1-APPL-1</x:v>
      </x:c>
      <x:c r="H90" s="44"/>
      <x:c r="I90" s="44"/>
      <x:c r="J90" s="44"/>
      <x:c r="K90" s="44"/>
      <x:c r="L90" s="44"/>
      <x:c r="M90" s="44"/>
      <x:c r="N90" s="76"/>
      <x:c r="O90" s="45" t="str">
        <x:f>IF(OR(E90="",F90="",G90="",H90=""),"INCOMPLETE",IF(AND(H90="NOT APPLICABLE",J90&lt;&gt;""),"ERROR: RESULT SET FOR NOT APPLICABLE",IF(AND(H90="APPLICABLE",J90=""),"INCOMPLETE: RESULT REQUIRED",IF(AND(J90="APPROVED DEVIATION",L90=""),"INCOMPLETE: DEVIATION ID REQUIRED","READY"))))</x:f>
        <x:v>INCOMPLETE</x:v>
      </x:c>
    </x:row>
    <x:row r="91" ht="68" customHeight="1">
      <x:c r="A91" s="43" t="str">
        <x:v>AERA-DAF-113</x:v>
      </x:c>
      <x:c r="B91" s="44" t="str">
        <x:v>DAF</x:v>
      </x:c>
      <x:c r="C91" s="44" t="str">
        <x:v>A permit SHALL state a bounded validity interval, bounded use count, or both.</x:v>
      </x:c>
      <x:c r="D91" s="44" t="str">
        <x:v>1.2 WD</x:v>
      </x:c>
      <x:c r="E91" s="44"/>
      <x:c r="F91" s="44"/>
      <x:c r="G91" s="44" t="str">
        <x:v>AERA-001-1.2WD-20260807.1-APPL-1</x:v>
      </x:c>
      <x:c r="H91" s="44"/>
      <x:c r="I91" s="44"/>
      <x:c r="J91" s="44"/>
      <x:c r="K91" s="44"/>
      <x:c r="L91" s="44"/>
      <x:c r="M91" s="44"/>
      <x:c r="N91" s="76"/>
      <x:c r="O91" s="45" t="str">
        <x:f>IF(OR(E91="",F91="",G91="",H91=""),"INCOMPLETE",IF(AND(H91="NOT APPLICABLE",J91&lt;&gt;""),"ERROR: RESULT SET FOR NOT APPLICABLE",IF(AND(H91="APPLICABLE",J91=""),"INCOMPLETE: RESULT REQUIRED",IF(AND(J91="APPROVED DEVIATION",L91=""),"INCOMPLETE: DEVIATION ID REQUIRED","READY"))))</x:f>
        <x:v>INCOMPLETE</x:v>
      </x:c>
    </x:row>
    <x:row r="92" ht="68" customHeight="1">
      <x:c r="A92" s="43" t="str">
        <x:v>AERA-DAF-114</x:v>
      </x:c>
      <x:c r="B92" s="44" t="str">
        <x:v>DAF</x:v>
      </x:c>
      <x:c r="C92" s="44" t="str">
        <x:v>The DAF SHALL record all applicable non-permit reasons even when it returns one primary disposition.</x:v>
      </x:c>
      <x:c r="D92" s="44" t="str">
        <x:v>1.2 WD</x:v>
      </x:c>
      <x:c r="E92" s="44"/>
      <x:c r="F92" s="44"/>
      <x:c r="G92" s="44" t="str">
        <x:v>AERA-001-1.2WD-20260807.1-APPL-1</x:v>
      </x:c>
      <x:c r="H92" s="44"/>
      <x:c r="I92" s="44"/>
      <x:c r="J92" s="44"/>
      <x:c r="K92" s="44"/>
      <x:c r="L92" s="44"/>
      <x:c r="M92" s="44"/>
      <x:c r="N92" s="76"/>
      <x:c r="O92" s="45" t="str">
        <x:f>IF(OR(E92="",F92="",G92="",H92=""),"INCOMPLETE",IF(AND(H92="NOT APPLICABLE",J92&lt;&gt;""),"ERROR: RESULT SET FOR NOT APPLICABLE",IF(AND(H92="APPLICABLE",J92=""),"INCOMPLETE: RESULT REQUIRED",IF(AND(J92="APPROVED DEVIATION",L92=""),"INCOMPLETE: DEVIATION ID REQUIRED","READY"))))</x:f>
        <x:v>INCOMPLETE</x:v>
      </x:c>
    </x:row>
    <x:row r="93" ht="68" customHeight="1">
      <x:c r="A93" s="43" t="str">
        <x:v>AERA-DAF-115</x:v>
      </x:c>
      <x:c r="B93" s="44" t="str">
        <x:v>DAF</x:v>
      </x:c>
      <x:c r="C93" s="44" t="str">
        <x:v>Unresolved policy conflict, ambiguous authority scope, or incomplete mandatory context SHALL NOT produce a permit.</x:v>
      </x:c>
      <x:c r="D93" s="44" t="str">
        <x:v>1.2 WD</x:v>
      </x:c>
      <x:c r="E93" s="44"/>
      <x:c r="F93" s="44"/>
      <x:c r="G93" s="44" t="str">
        <x:v>AERA-001-1.2WD-20260807.1-APPL-1</x:v>
      </x:c>
      <x:c r="H93" s="44"/>
      <x:c r="I93" s="44"/>
      <x:c r="J93" s="44"/>
      <x:c r="K93" s="44"/>
      <x:c r="L93" s="44"/>
      <x:c r="M93" s="44"/>
      <x:c r="N93" s="76"/>
      <x:c r="O93" s="45" t="str">
        <x:f>IF(OR(E93="",F93="",G93="",H93=""),"INCOMPLETE",IF(AND(H93="NOT APPLICABLE",J93&lt;&gt;""),"ERROR: RESULT SET FOR NOT APPLICABLE",IF(AND(H93="APPLICABLE",J93=""),"INCOMPLETE: RESULT REQUIRED",IF(AND(J93="APPROVED DEVIATION",L93=""),"INCOMPLETE: DEVIATION ID REQUIRED","READY"))))</x:f>
        <x:v>INCOMPLETE</x:v>
      </x:c>
    </x:row>
    <x:row r="94" ht="68" customHeight="1">
      <x:c r="A94" s="43" t="str">
        <x:v>AERA-DAF-116</x:v>
      </x:c>
      <x:c r="B94" s="44" t="str">
        <x:v>DAF</x:v>
      </x:c>
      <x:c r="C94" s="44" t="str">
        <x:v>State transitions SHALL be attributable, ordered, integrity-protected, and associated with stated time quality.</x:v>
      </x:c>
      <x:c r="D94" s="44" t="str">
        <x:v>1.2 WD</x:v>
      </x:c>
      <x:c r="E94" s="44"/>
      <x:c r="F94" s="44"/>
      <x:c r="G94" s="44" t="str">
        <x:v>AERA-001-1.2WD-20260807.1-APPL-1</x:v>
      </x:c>
      <x:c r="H94" s="44"/>
      <x:c r="I94" s="44"/>
      <x:c r="J94" s="44"/>
      <x:c r="K94" s="44"/>
      <x:c r="L94" s="44"/>
      <x:c r="M94" s="44"/>
      <x:c r="N94" s="76"/>
      <x:c r="O94" s="45" t="str">
        <x:f>IF(OR(E94="",F94="",G94="",H94=""),"INCOMPLETE",IF(AND(H94="NOT APPLICABLE",J94&lt;&gt;""),"ERROR: RESULT SET FOR NOT APPLICABLE",IF(AND(H94="APPLICABLE",J94=""),"INCOMPLETE: RESULT REQUIRED",IF(AND(J94="APPROVED DEVIATION",L94=""),"INCOMPLETE: DEVIATION ID REQUIRED","READY"))))</x:f>
        <x:v>INCOMPLETE</x:v>
      </x:c>
    </x:row>
    <x:row r="95" ht="68" customHeight="1">
      <x:c r="A95" s="43" t="str">
        <x:v>AERA-DAF-117</x:v>
      </x:c>
      <x:c r="B95" s="44" t="str">
        <x:v>DAF</x:v>
      </x:c>
      <x:c r="C95" s="44" t="str">
        <x:v>Re-evaluation after deferment, escalation, or simulation SHALL preserve the prior snapshot and create a new evaluation snapshot.</x:v>
      </x:c>
      <x:c r="D95" s="44" t="str">
        <x:v>1.2 WD</x:v>
      </x:c>
      <x:c r="E95" s="44"/>
      <x:c r="F95" s="44"/>
      <x:c r="G95" s="44" t="str">
        <x:v>AERA-001-1.2WD-20260807.1-APPL-1</x:v>
      </x:c>
      <x:c r="H95" s="44"/>
      <x:c r="I95" s="44"/>
      <x:c r="J95" s="44"/>
      <x:c r="K95" s="44"/>
      <x:c r="L95" s="44"/>
      <x:c r="M95" s="44"/>
      <x:c r="N95" s="76"/>
      <x:c r="O95" s="45" t="str">
        <x:f>IF(OR(E95="",F95="",G95="",H95=""),"INCOMPLETE",IF(AND(H95="NOT APPLICABLE",J95&lt;&gt;""),"ERROR: RESULT SET FOR NOT APPLICABLE",IF(AND(H95="APPLICABLE",J95=""),"INCOMPLETE: RESULT REQUIRED",IF(AND(J95="APPROVED DEVIATION",L95=""),"INCOMPLETE: DEVIATION ID REQUIRED","READY"))))</x:f>
        <x:v>INCOMPLETE</x:v>
      </x:c>
    </x:row>
    <x:row r="96" ht="68" customHeight="1">
      <x:c r="A96" s="43" t="str">
        <x:v>AERA-DAF-118</x:v>
      </x:c>
      <x:c r="B96" s="44" t="str">
        <x:v>DAF</x:v>
      </x:c>
      <x:c r="C96" s="44" t="str">
        <x:v>A decision transaction SHALL NOT enter verified closure until the enforcement receipt and required effect observations have been reconciled with the decision contract, or residual-risk closure has been explicitly approved.</x:v>
      </x:c>
      <x:c r="D96" s="44" t="str">
        <x:v>1.2 WD</x:v>
      </x:c>
      <x:c r="E96" s="44"/>
      <x:c r="F96" s="44"/>
      <x:c r="G96" s="44" t="str">
        <x:v>AERA-001-1.2WD-20260807.1-APPL-1</x:v>
      </x:c>
      <x:c r="H96" s="44"/>
      <x:c r="I96" s="44"/>
      <x:c r="J96" s="44"/>
      <x:c r="K96" s="44"/>
      <x:c r="L96" s="44"/>
      <x:c r="M96" s="44"/>
      <x:c r="N96" s="76"/>
      <x:c r="O96" s="45" t="str">
        <x:f>IF(OR(E96="",F96="",G96="",H96=""),"INCOMPLETE",IF(AND(H96="NOT APPLICABLE",J96&lt;&gt;""),"ERROR: RESULT SET FOR NOT APPLICABLE",IF(AND(H96="APPLICABLE",J96=""),"INCOMPLETE: RESULT REQUIRED",IF(AND(J96="APPROVED DEVIATION",L96=""),"INCOMPLETE: DEVIATION ID REQUIRED","READY"))))</x:f>
        <x:v>INCOMPLETE</x:v>
      </x:c>
    </x:row>
    <x:row r="97" ht="68" customHeight="1">
      <x:c r="A97" s="43" t="str">
        <x:v>AERA-ENF-101</x:v>
      </x:c>
      <x:c r="B97" s="44" t="str">
        <x:v>ENF</x:v>
      </x:c>
      <x:c r="C97" s="44" t="str">
        <x:v>Each material effect SHALL be mediated by an enforcement point that is independently controllable from the proposer to the degree required by consequence.</x:v>
      </x:c>
      <x:c r="D97" s="44" t="str">
        <x:v>1.2 WD</x:v>
      </x:c>
      <x:c r="E97" s="44"/>
      <x:c r="F97" s="44"/>
      <x:c r="G97" s="44" t="str">
        <x:v>AERA-001-1.2WD-20260807.1-APPL-1</x:v>
      </x:c>
      <x:c r="H97" s="44"/>
      <x:c r="I97" s="44"/>
      <x:c r="J97" s="44"/>
      <x:c r="K97" s="44"/>
      <x:c r="L97" s="44"/>
      <x:c r="M97" s="44"/>
      <x:c r="N97" s="76"/>
      <x:c r="O97" s="45" t="str">
        <x:f>IF(OR(E97="",F97="",G97="",H97=""),"INCOMPLETE",IF(AND(H97="NOT APPLICABLE",J97&lt;&gt;""),"ERROR: RESULT SET FOR NOT APPLICABLE",IF(AND(H97="APPLICABLE",J97=""),"INCOMPLETE: RESULT REQUIRED",IF(AND(J97="APPROVED DEVIATION",L97=""),"INCOMPLETE: DEVIATION ID REQUIRED","READY"))))</x:f>
        <x:v>INCOMPLETE</x:v>
      </x:c>
    </x:row>
    <x:row r="98" ht="68" customHeight="1">
      <x:c r="A98" s="43" t="str">
        <x:v>AERA-ENF-102</x:v>
      </x:c>
      <x:c r="B98" s="44" t="str">
        <x:v>ENF</x:v>
      </x:c>
      <x:c r="C98" s="44" t="str">
        <x:v>The enforcement point SHALL validate the authorization artifact, actor, target, canonical proposal digest, constraints, validity, use limit, and revocation state before execution.</x:v>
      </x:c>
      <x:c r="D98" s="44" t="str">
        <x:v>1.2 WD</x:v>
      </x:c>
      <x:c r="E98" s="44"/>
      <x:c r="F98" s="44"/>
      <x:c r="G98" s="44" t="str">
        <x:v>AERA-001-1.2WD-20260807.1-APPL-1</x:v>
      </x:c>
      <x:c r="H98" s="44"/>
      <x:c r="I98" s="44"/>
      <x:c r="J98" s="44"/>
      <x:c r="K98" s="44"/>
      <x:c r="L98" s="44"/>
      <x:c r="M98" s="44"/>
      <x:c r="N98" s="76"/>
      <x:c r="O98" s="45" t="str">
        <x:f>IF(OR(E98="",F98="",G98="",H98=""),"INCOMPLETE",IF(AND(H98="NOT APPLICABLE",J98&lt;&gt;""),"ERROR: RESULT SET FOR NOT APPLICABLE",IF(AND(H98="APPLICABLE",J98=""),"INCOMPLETE: RESULT REQUIRED",IF(AND(J98="APPROVED DEVIATION",L98=""),"INCOMPLETE: DEVIATION ID REQUIRED","READY"))))</x:f>
        <x:v>INCOMPLETE</x:v>
      </x:c>
    </x:row>
    <x:row r="99" ht="68" customHeight="1">
      <x:c r="A99" s="43" t="str">
        <x:v>AERA-ENF-103</x:v>
      </x:c>
      <x:c r="B99" s="44" t="str">
        <x:v>ENF</x:v>
      </x:c>
      <x:c r="C99" s="44" t="str">
        <x:v>The enforcement point SHALL reject proposal substitution, target substitution, actor substitution, replay, expired authorization, exhausted use, and use outside the named enforcement boundary.</x:v>
      </x:c>
      <x:c r="D99" s="44" t="str">
        <x:v>1.2 WD</x:v>
      </x:c>
      <x:c r="E99" s="44"/>
      <x:c r="F99" s="44"/>
      <x:c r="G99" s="44" t="str">
        <x:v>AERA-001-1.2WD-20260807.1-APPL-1</x:v>
      </x:c>
      <x:c r="H99" s="44"/>
      <x:c r="I99" s="44"/>
      <x:c r="J99" s="44"/>
      <x:c r="K99" s="44"/>
      <x:c r="L99" s="44"/>
      <x:c r="M99" s="44"/>
      <x:c r="N99" s="76"/>
      <x:c r="O99" s="45" t="str">
        <x:f>IF(OR(E99="",F99="",G99="",H99=""),"INCOMPLETE",IF(AND(H99="NOT APPLICABLE",J99&lt;&gt;""),"ERROR: RESULT SET FOR NOT APPLICABLE",IF(AND(H99="APPLICABLE",J99=""),"INCOMPLETE: RESULT REQUIRED",IF(AND(J99="APPROVED DEVIATION",L99=""),"INCOMPLETE: DEVIATION ID REQUIRED","READY"))))</x:f>
        <x:v>INCOMPLETE</x:v>
      </x:c>
    </x:row>
    <x:row r="100" ht="68" customHeight="1">
      <x:c r="A100" s="43" t="str">
        <x:v>AERA-ENF-104</x:v>
      </x:c>
      <x:c r="B100" s="44" t="str">
        <x:v>ENF</x:v>
      </x:c>
      <x:c r="C100" s="44" t="str">
        <x:v>Revocation after dispatch SHALL invoke the defined stop, containment, or recovery behavior and SHALL preserve evidence of any effect already initiated.</x:v>
      </x:c>
      <x:c r="D100" s="44" t="str">
        <x:v>1.2 WD</x:v>
      </x:c>
      <x:c r="E100" s="44"/>
      <x:c r="F100" s="44"/>
      <x:c r="G100" s="44" t="str">
        <x:v>AERA-001-1.2WD-20260807.1-APPL-1</x:v>
      </x:c>
      <x:c r="H100" s="44"/>
      <x:c r="I100" s="44"/>
      <x:c r="J100" s="44"/>
      <x:c r="K100" s="44"/>
      <x:c r="L100" s="44"/>
      <x:c r="M100" s="44"/>
      <x:c r="N100" s="76"/>
      <x:c r="O100" s="45" t="str">
        <x:f>IF(OR(E100="",F100="",G100="",H100=""),"INCOMPLETE",IF(AND(H100="NOT APPLICABLE",J100&lt;&gt;""),"ERROR: RESULT SET FOR NOT APPLICABLE",IF(AND(H100="APPLICABLE",J100=""),"INCOMPLETE: RESULT REQUIRED",IF(AND(J100="APPROVED DEVIATION",L100=""),"INCOMPLETE: DEVIATION ID REQUIRED","READY"))))</x:f>
        <x:v>INCOMPLETE</x:v>
      </x:c>
    </x:row>
    <x:row r="101" ht="68" customHeight="1">
      <x:c r="A101" s="43" t="str">
        <x:v>AERA-ENF-105</x:v>
      </x:c>
      <x:c r="B101" s="44" t="str">
        <x:v>ENF</x:v>
      </x:c>
      <x:c r="C101" s="44" t="str">
        <x:v>The enforcement path SHALL produce an integrity-protected receipt stating validation, accepted proposal, actual execution parameters, timing, result, and exceptions.</x:v>
      </x:c>
      <x:c r="D101" s="44" t="str">
        <x:v>1.2 WD</x:v>
      </x:c>
      <x:c r="E101" s="44"/>
      <x:c r="F101" s="44"/>
      <x:c r="G101" s="44" t="str">
        <x:v>AERA-001-1.2WD-20260807.1-APPL-1</x:v>
      </x:c>
      <x:c r="H101" s="44"/>
      <x:c r="I101" s="44"/>
      <x:c r="J101" s="44"/>
      <x:c r="K101" s="44"/>
      <x:c r="L101" s="44"/>
      <x:c r="M101" s="44"/>
      <x:c r="N101" s="76"/>
      <x:c r="O101" s="45" t="str">
        <x:f>IF(OR(E101="",F101="",G101="",H101=""),"INCOMPLETE",IF(AND(H101="NOT APPLICABLE",J101&lt;&gt;""),"ERROR: RESULT SET FOR NOT APPLICABLE",IF(AND(H101="APPLICABLE",J101=""),"INCOMPLETE: RESULT REQUIRED",IF(AND(J101="APPROVED DEVIATION",L101=""),"INCOMPLETE: DEVIATION ID REQUIRED","READY"))))</x:f>
        <x:v>INCOMPLETE</x:v>
      </x:c>
    </x:row>
    <x:row r="102" ht="68" customHeight="1">
      <x:c r="A102" s="43" t="str">
        <x:v>AERA-ENF-106</x:v>
      </x:c>
      <x:c r="B102" s="44" t="str">
        <x:v>ENF</x:v>
      </x:c>
      <x:c r="C102" s="44" t="str">
        <x:v>Required effect observation SHALL be independent of the proposer for CC-3 and CC-4 decisions unless the assurance case documents why independence is infeasible and identifies compensating controls.</x:v>
      </x:c>
      <x:c r="D102" s="44" t="str">
        <x:v>1.2 WD</x:v>
      </x:c>
      <x:c r="E102" s="44"/>
      <x:c r="F102" s="44"/>
      <x:c r="G102" s="44" t="str">
        <x:v>AERA-001-1.2WD-20260807.1-APPL-1</x:v>
      </x:c>
      <x:c r="H102" s="44"/>
      <x:c r="I102" s="44"/>
      <x:c r="J102" s="44"/>
      <x:c r="K102" s="44"/>
      <x:c r="L102" s="44"/>
      <x:c r="M102" s="44"/>
      <x:c r="N102" s="76"/>
      <x:c r="O102" s="45" t="str">
        <x:f>IF(OR(E102="",F102="",G102="",H102=""),"INCOMPLETE",IF(AND(H102="NOT APPLICABLE",J102&lt;&gt;""),"ERROR: RESULT SET FOR NOT APPLICABLE",IF(AND(H102="APPLICABLE",J102=""),"INCOMPLETE: RESULT REQUIRED",IF(AND(J102="APPROVED DEVIATION",L102=""),"INCOMPLETE: DEVIATION ID REQUIRED","READY"))))</x:f>
        <x:v>INCOMPLETE</x:v>
      </x:c>
    </x:row>
    <x:row r="103" ht="68" customHeight="1">
      <x:c r="A103" s="43" t="str">
        <x:v>AERA-ENF-107</x:v>
      </x:c>
      <x:c r="B103" s="44" t="str">
        <x:v>ENF</x:v>
      </x:c>
      <x:c r="C103" s="44" t="str">
        <x:v>The audit record SHALL reconstruct the causal chain from intent and delegation through proposal, evidence, vector, policy, disposition, enforcement, observed effect, override, exception, and recovery.</x:v>
      </x:c>
      <x:c r="D103" s="44" t="str">
        <x:v>1.2 WD</x:v>
      </x:c>
      <x:c r="E103" s="44"/>
      <x:c r="F103" s="44"/>
      <x:c r="G103" s="44" t="str">
        <x:v>AERA-001-1.2WD-20260807.1-APPL-1</x:v>
      </x:c>
      <x:c r="H103" s="44"/>
      <x:c r="I103" s="44"/>
      <x:c r="J103" s="44"/>
      <x:c r="K103" s="44"/>
      <x:c r="L103" s="44"/>
      <x:c r="M103" s="44"/>
      <x:c r="N103" s="76"/>
      <x:c r="O103" s="45" t="str">
        <x:f>IF(OR(E103="",F103="",G103="",H103=""),"INCOMPLETE",IF(AND(H103="NOT APPLICABLE",J103&lt;&gt;""),"ERROR: RESULT SET FOR NOT APPLICABLE",IF(AND(H103="APPLICABLE",J103=""),"INCOMPLETE: RESULT REQUIRED",IF(AND(J103="APPROVED DEVIATION",L103=""),"INCOMPLETE: DEVIATION ID REQUIRED","READY"))))</x:f>
        <x:v>INCOMPLETE</x:v>
      </x:c>
    </x:row>
    <x:row r="104" ht="68" customHeight="1">
      <x:c r="A104" s="43" t="str">
        <x:v>AERA-EVID-001</x:v>
      </x:c>
      <x:c r="B104" s="44" t="str">
        <x:v>EVID</x:v>
      </x:c>
      <x:c r="C104" s="44" t="str">
        <x:v>Decision evidence SHALL carry or resolve to source identity, provenance, observed/effective time, acquisition/transformation history, integrity, freshness, uncertainty/quality, relevant configuration/calibration, and restrictions.</x:v>
      </x:c>
      <x:c r="D104" s="44" t="str">
        <x:v>1.2 WD</x:v>
      </x:c>
      <x:c r="E104" s="44"/>
      <x:c r="F104" s="44"/>
      <x:c r="G104" s="44" t="str">
        <x:v>AERA-001-1.2WD-20260807.1-APPL-1</x:v>
      </x:c>
      <x:c r="H104" s="44"/>
      <x:c r="I104" s="44"/>
      <x:c r="J104" s="44"/>
      <x:c r="K104" s="44"/>
      <x:c r="L104" s="44"/>
      <x:c r="M104" s="44"/>
      <x:c r="N104" s="76"/>
      <x:c r="O104" s="45" t="str">
        <x:f>IF(OR(E104="",F104="",G104="",H104=""),"INCOMPLETE",IF(AND(H104="NOT APPLICABLE",J104&lt;&gt;""),"ERROR: RESULT SET FOR NOT APPLICABLE",IF(AND(H104="APPLICABLE",J104=""),"INCOMPLETE: RESULT REQUIRED",IF(AND(J104="APPROVED DEVIATION",L104=""),"INCOMPLETE: DEVIATION ID REQUIRED","READY"))))</x:f>
        <x:v>INCOMPLETE</x:v>
      </x:c>
    </x:row>
    <x:row r="105" ht="68" customHeight="1">
      <x:c r="A105" s="43" t="str">
        <x:v>AERA-EVID-002</x:v>
      </x:c>
      <x:c r="B105" s="44" t="str">
        <x:v>EVID</x:v>
      </x:c>
      <x:c r="C105" s="44" t="str">
        <x:v>High-consequence disposition SHALL use evidence or enforcement sufficiently independent of the proposer; independence SHALL address shared source, time, network, software, administration, and supply-chain dependencies.</x:v>
      </x:c>
      <x:c r="D105" s="44" t="str">
        <x:v>1.2 WD</x:v>
      </x:c>
      <x:c r="E105" s="44"/>
      <x:c r="F105" s="44"/>
      <x:c r="G105" s="44" t="str">
        <x:v>AERA-001-1.2WD-20260807.1-APPL-1</x:v>
      </x:c>
      <x:c r="H105" s="44"/>
      <x:c r="I105" s="44"/>
      <x:c r="J105" s="44"/>
      <x:c r="K105" s="44"/>
      <x:c r="L105" s="44"/>
      <x:c r="M105" s="44"/>
      <x:c r="N105" s="76"/>
      <x:c r="O105" s="45" t="str">
        <x:f>IF(OR(E105="",F105="",G105="",H105=""),"INCOMPLETE",IF(AND(H105="NOT APPLICABLE",J105&lt;&gt;""),"ERROR: RESULT SET FOR NOT APPLICABLE",IF(AND(H105="APPLICABLE",J105=""),"INCOMPLETE: RESULT REQUIRED",IF(AND(J105="APPROVED DEVIATION",L105=""),"INCOMPLETE: DEVIATION ID REQUIRED","READY"))))</x:f>
        <x:v>INCOMPLETE</x:v>
      </x:c>
    </x:row>
    <x:row r="106" ht="68" customHeight="1">
      <x:c r="A106" s="43" t="str">
        <x:v>AERA-EVID-003</x:v>
      </x:c>
      <x:c r="B106" s="44" t="str">
        <x:v>EVID</x:v>
      </x:c>
      <x:c r="C106" s="44" t="str">
        <x:v>Material contradictions SHALL be retained, surfaced to policy, and resolved or dispositioned; fusion SHALL NOT suppress contradiction to create unsupported confidence.</x:v>
      </x:c>
      <x:c r="D106" s="44" t="str">
        <x:v>1.2 WD</x:v>
      </x:c>
      <x:c r="E106" s="44"/>
      <x:c r="F106" s="44"/>
      <x:c r="G106" s="44" t="str">
        <x:v>AERA-001-1.2WD-20260807.1-APPL-1</x:v>
      </x:c>
      <x:c r="H106" s="44"/>
      <x:c r="I106" s="44"/>
      <x:c r="J106" s="44"/>
      <x:c r="K106" s="44"/>
      <x:c r="L106" s="44"/>
      <x:c r="M106" s="44"/>
      <x:c r="N106" s="76"/>
      <x:c r="O106" s="45" t="str">
        <x:f>IF(OR(E106="",F106="",G106="",H106=""),"INCOMPLETE",IF(AND(H106="NOT APPLICABLE",J106&lt;&gt;""),"ERROR: RESULT SET FOR NOT APPLICABLE",IF(AND(H106="APPLICABLE",J106=""),"INCOMPLETE: RESULT REQUIRED",IF(AND(J106="APPROVED DEVIATION",L106=""),"INCOMPLETE: DEVIATION ID REQUIRED","READY"))))</x:f>
        <x:v>INCOMPLETE</x:v>
      </x:c>
    </x:row>
    <x:row r="107" ht="68" customHeight="1">
      <x:c r="A107" s="43" t="str">
        <x:v>AERA-EVID-004</x:v>
      </x:c>
      <x:c r="B107" s="44" t="str">
        <x:v>EVID</x:v>
      </x:c>
      <x:c r="C107" s="44" t="str">
        <x:v>Transformed evidence SHALL preserve source-level traceability and declare transformations that prevent independent re-evaluation.</x:v>
      </x:c>
      <x:c r="D107" s="44" t="str">
        <x:v>1.2 WD</x:v>
      </x:c>
      <x:c r="E107" s="44"/>
      <x:c r="F107" s="44"/>
      <x:c r="G107" s="44" t="str">
        <x:v>AERA-001-1.2WD-20260807.1-APPL-1</x:v>
      </x:c>
      <x:c r="H107" s="44"/>
      <x:c r="I107" s="44"/>
      <x:c r="J107" s="44"/>
      <x:c r="K107" s="44"/>
      <x:c r="L107" s="44"/>
      <x:c r="M107" s="44"/>
      <x:c r="N107" s="76"/>
      <x:c r="O107" s="45" t="str">
        <x:f>IF(OR(E107="",F107="",G107="",H107=""),"INCOMPLETE",IF(AND(H107="NOT APPLICABLE",J107&lt;&gt;""),"ERROR: RESULT SET FOR NOT APPLICABLE",IF(AND(H107="APPLICABLE",J107=""),"INCOMPLETE: RESULT REQUIRED",IF(AND(J107="APPROVED DEVIATION",L107=""),"INCOMPLETE: DEVIATION ID REQUIRED","READY"))))</x:f>
        <x:v>INCOMPLETE</x:v>
      </x:c>
    </x:row>
    <x:row r="108" ht="68" customHeight="1">
      <x:c r="A108" s="43" t="str">
        <x:v>AERA-EVID-011</x:v>
      </x:c>
      <x:c r="B108" s="44" t="str">
        <x:v>EVID</x:v>
      </x:c>
      <x:c r="C108" s="44" t="str">
        <x:v>Data used to train, adapt, evaluate, or operate a consequence-material autonomous capability SHALL have documented provenance, quality, representativeness, limitations, permissible use, and change control.</x:v>
      </x:c>
      <x:c r="D108" s="44" t="str">
        <x:v>1.2 WD</x:v>
      </x:c>
      <x:c r="E108" s="44"/>
      <x:c r="F108" s="44"/>
      <x:c r="G108" s="44" t="str">
        <x:v>AERA-001-1.2WD-20260807.1-APPL-1</x:v>
      </x:c>
      <x:c r="H108" s="44"/>
      <x:c r="I108" s="44"/>
      <x:c r="J108" s="44"/>
      <x:c r="K108" s="44"/>
      <x:c r="L108" s="44"/>
      <x:c r="M108" s="44"/>
      <x:c r="N108" s="76"/>
      <x:c r="O108" s="45" t="str">
        <x:f>IF(OR(E108="",F108="",G108="",H108=""),"INCOMPLETE",IF(AND(H108="NOT APPLICABLE",J108&lt;&gt;""),"ERROR: RESULT SET FOR NOT APPLICABLE",IF(AND(H108="APPLICABLE",J108=""),"INCOMPLETE: RESULT REQUIRED",IF(AND(J108="APPROVED DEVIATION",L108=""),"INCOMPLETE: DEVIATION ID REQUIRED","READY"))))</x:f>
        <x:v>INCOMPLETE</x:v>
      </x:c>
    </x:row>
    <x:row r="109" ht="68" customHeight="1">
      <x:c r="A109" s="43" t="str">
        <x:v>AERA-EVID-101</x:v>
      </x:c>
      <x:c r="B109" s="44" t="str">
        <x:v>EVID</x:v>
      </x:c>
      <x:c r="C109" s="44" t="str">
        <x:v>Decision evidence SHALL identify the supported claim, source, provenance, transformations, integrity state, uncertainty, observation time, valid interval, and limitations.</x:v>
      </x:c>
      <x:c r="D109" s="44" t="str">
        <x:v>1.2 WD</x:v>
      </x:c>
      <x:c r="E109" s="44"/>
      <x:c r="F109" s="44"/>
      <x:c r="G109" s="44" t="str">
        <x:v>AERA-001-1.2WD-20260807.1-APPL-1</x:v>
      </x:c>
      <x:c r="H109" s="44"/>
      <x:c r="I109" s="44"/>
      <x:c r="J109" s="44"/>
      <x:c r="K109" s="44"/>
      <x:c r="L109" s="44"/>
      <x:c r="M109" s="44"/>
      <x:c r="N109" s="76"/>
      <x:c r="O109" s="45" t="str">
        <x:f>IF(OR(E109="",F109="",G109="",H109=""),"INCOMPLETE",IF(AND(H109="NOT APPLICABLE",J109&lt;&gt;""),"ERROR: RESULT SET FOR NOT APPLICABLE",IF(AND(H109="APPLICABLE",J109=""),"INCOMPLETE: RESULT REQUIRED",IF(AND(J109="APPROVED DEVIATION",L109=""),"INCOMPLETE: DEVIATION ID REQUIRED","READY"))))</x:f>
        <x:v>INCOMPLETE</x:v>
      </x:c>
    </x:row>
    <x:row r="110" ht="68" customHeight="1">
      <x:c r="A110" s="43" t="str">
        <x:v>AERA-EVID-102</x:v>
      </x:c>
      <x:c r="B110" s="44" t="str">
        <x:v>EVID</x:v>
      </x:c>
      <x:c r="C110" s="44" t="str">
        <x:v>The DAF SHALL evaluate evidence freshness and time/PNT quality against the requirements of the specific decision contract.</x:v>
      </x:c>
      <x:c r="D110" s="44" t="str">
        <x:v>1.2 WD</x:v>
      </x:c>
      <x:c r="E110" s="44"/>
      <x:c r="F110" s="44"/>
      <x:c r="G110" s="44" t="str">
        <x:v>AERA-001-1.2WD-20260807.1-APPL-1</x:v>
      </x:c>
      <x:c r="H110" s="44"/>
      <x:c r="I110" s="44"/>
      <x:c r="J110" s="44"/>
      <x:c r="K110" s="44"/>
      <x:c r="L110" s="44"/>
      <x:c r="M110" s="44"/>
      <x:c r="N110" s="76"/>
      <x:c r="O110" s="45" t="str">
        <x:f>IF(OR(E110="",F110="",G110="",H110=""),"INCOMPLETE",IF(AND(H110="NOT APPLICABLE",J110&lt;&gt;""),"ERROR: RESULT SET FOR NOT APPLICABLE",IF(AND(H110="APPLICABLE",J110=""),"INCOMPLETE: RESULT REQUIRED",IF(AND(J110="APPROVED DEVIATION",L110=""),"INCOMPLETE: DEVIATION ID REQUIRED","READY"))))</x:f>
        <x:v>INCOMPLETE</x:v>
      </x:c>
    </x:row>
    <x:row r="111" ht="68" customHeight="1">
      <x:c r="A111" s="43" t="str">
        <x:v>AERA-EVID-103</x:v>
      </x:c>
      <x:c r="B111" s="44" t="str">
        <x:v>EVID</x:v>
      </x:c>
      <x:c r="C111" s="44" t="str">
        <x:v>Evidence status SHALL distinguish source capability present, source monitored, evidence accepted, and evidence used in the computed assurance verdict.</x:v>
      </x:c>
      <x:c r="D111" s="44" t="str">
        <x:v>1.2 WD</x:v>
      </x:c>
      <x:c r="E111" s="44"/>
      <x:c r="F111" s="44"/>
      <x:c r="G111" s="44" t="str">
        <x:v>AERA-001-1.2WD-20260807.1-APPL-1</x:v>
      </x:c>
      <x:c r="H111" s="44"/>
      <x:c r="I111" s="44"/>
      <x:c r="J111" s="44"/>
      <x:c r="K111" s="44"/>
      <x:c r="L111" s="44"/>
      <x:c r="M111" s="44"/>
      <x:c r="N111" s="76"/>
      <x:c r="O111" s="45" t="str">
        <x:f>IF(OR(E111="",F111="",G111="",H111=""),"INCOMPLETE",IF(AND(H111="NOT APPLICABLE",J111&lt;&gt;""),"ERROR: RESULT SET FOR NOT APPLICABLE",IF(AND(H111="APPLICABLE",J111=""),"INCOMPLETE: RESULT REQUIRED",IF(AND(J111="APPROVED DEVIATION",L111=""),"INCOMPLETE: DEVIATION ID REQUIRED","READY"))))</x:f>
        <x:v>INCOMPLETE</x:v>
      </x:c>
    </x:row>
    <x:row r="112" ht="68" customHeight="1">
      <x:c r="A112" s="43" t="str">
        <x:v>AERA-EVID-104</x:v>
      </x:c>
      <x:c r="B112" s="44" t="str">
        <x:v>EVID</x:v>
      </x:c>
      <x:c r="C112" s="44" t="str">
        <x:v>Required source independence SHALL be defined against the relevant common-mode and administrative-control failure model; source count alone SHALL NOT establish independence.</x:v>
      </x:c>
      <x:c r="D112" s="44" t="str">
        <x:v>1.2 WD</x:v>
      </x:c>
      <x:c r="E112" s="44"/>
      <x:c r="F112" s="44"/>
      <x:c r="G112" s="44" t="str">
        <x:v>AERA-001-1.2WD-20260807.1-APPL-1</x:v>
      </x:c>
      <x:c r="H112" s="44"/>
      <x:c r="I112" s="44"/>
      <x:c r="J112" s="44"/>
      <x:c r="K112" s="44"/>
      <x:c r="L112" s="44"/>
      <x:c r="M112" s="44"/>
      <x:c r="N112" s="76"/>
      <x:c r="O112" s="45" t="str">
        <x:f>IF(OR(E112="",F112="",G112="",H112=""),"INCOMPLETE",IF(AND(H112="NOT APPLICABLE",J112&lt;&gt;""),"ERROR: RESULT SET FOR NOT APPLICABLE",IF(AND(H112="APPLICABLE",J112=""),"INCOMPLETE: RESULT REQUIRED",IF(AND(J112="APPROVED DEVIATION",L112=""),"INCOMPLETE: DEVIATION ID REQUIRED","READY"))))</x:f>
        <x:v>INCOMPLETE</x:v>
      </x:c>
    </x:row>
    <x:row r="113" ht="68" customHeight="1">
      <x:c r="A113" s="43" t="str">
        <x:v>AERA-EVID-105</x:v>
      </x:c>
      <x:c r="B113" s="44" t="str">
        <x:v>EVID</x:v>
      </x:c>
      <x:c r="C113" s="44" t="str">
        <x:v>Contradictory, withdrawn, corrected, stale, or compromised evidence SHALL trigger the policy-defined re-evaluation, constraint, deferment, escalation, quarantine, denial, or recovery behavior.</x:v>
      </x:c>
      <x:c r="D113" s="44" t="str">
        <x:v>1.2 WD</x:v>
      </x:c>
      <x:c r="E113" s="44"/>
      <x:c r="F113" s="44"/>
      <x:c r="G113" s="44" t="str">
        <x:v>AERA-001-1.2WD-20260807.1-APPL-1</x:v>
      </x:c>
      <x:c r="H113" s="44"/>
      <x:c r="I113" s="44"/>
      <x:c r="J113" s="44"/>
      <x:c r="K113" s="44"/>
      <x:c r="L113" s="44"/>
      <x:c r="M113" s="44"/>
      <x:c r="N113" s="76"/>
      <x:c r="O113" s="45" t="str">
        <x:f>IF(OR(E113="",F113="",G113="",H113=""),"INCOMPLETE",IF(AND(H113="NOT APPLICABLE",J113&lt;&gt;""),"ERROR: RESULT SET FOR NOT APPLICABLE",IF(AND(H113="APPLICABLE",J113=""),"INCOMPLETE: RESULT REQUIRED",IF(AND(J113="APPROVED DEVIATION",L113=""),"INCOMPLETE: DEVIATION ID REQUIRED","READY"))))</x:f>
        <x:v>INCOMPLETE</x:v>
      </x:c>
    </x:row>
    <x:row r="114" ht="68" customHeight="1">
      <x:c r="A114" s="43" t="str">
        <x:v>AERA-EVID-106</x:v>
      </x:c>
      <x:c r="B114" s="44" t="str">
        <x:v>EVID</x:v>
      </x:c>
      <x:c r="C114" s="44" t="str">
        <x:v>Each material decision class SHALL define stop conditions, degraded behavior, and a validated recovery envelope, and the DAF SHALL evaluate current recovery readiness before permit.</x:v>
      </x:c>
      <x:c r="D114" s="44" t="str">
        <x:v>1.2 WD</x:v>
      </x:c>
      <x:c r="E114" s="44"/>
      <x:c r="F114" s="44"/>
      <x:c r="G114" s="44" t="str">
        <x:v>AERA-001-1.2WD-20260807.1-APPL-1</x:v>
      </x:c>
      <x:c r="H114" s="44"/>
      <x:c r="I114" s="44"/>
      <x:c r="J114" s="44"/>
      <x:c r="K114" s="44"/>
      <x:c r="L114" s="44"/>
      <x:c r="M114" s="44"/>
      <x:c r="N114" s="76"/>
      <x:c r="O114" s="45" t="str">
        <x:f>IF(OR(E114="",F114="",G114="",H114=""),"INCOMPLETE",IF(AND(H114="NOT APPLICABLE",J114&lt;&gt;""),"ERROR: RESULT SET FOR NOT APPLICABLE",IF(AND(H114="APPLICABLE",J114=""),"INCOMPLETE: RESULT REQUIRED",IF(AND(J114="APPROVED DEVIATION",L114=""),"INCOMPLETE: DEVIATION ID REQUIRED","READY"))))</x:f>
        <x:v>INCOMPLETE</x:v>
      </x:c>
    </x:row>
    <x:row r="115" ht="68" customHeight="1">
      <x:c r="A115" s="43" t="str">
        <x:v>AERA-EVID-112</x:v>
      </x:c>
      <x:c r="B115" s="44" t="str">
        <x:v>EVID</x:v>
      </x:c>
      <x:c r="C115" s="44" t="str">
        <x:v>A decision-relevant state claim SHALL identify its typed state model and SHALL NOT treat ACCEPTED_BY_SERVICE, USED_IN_SOURCE_SOLUTION, USED_IN_AUTHORIZATION, and VALIDATED_EFFECTIVE as equivalent states.</x:v>
      </x:c>
      <x:c r="D115" s="44" t="str">
        <x:v>1.2 WD</x:v>
      </x:c>
      <x:c r="E115" s="44"/>
      <x:c r="F115" s="44"/>
      <x:c r="G115" s="44" t="str">
        <x:v>AERA-001-1.2WD-20260807.1-APPL-1</x:v>
      </x:c>
      <x:c r="H115" s="44"/>
      <x:c r="I115" s="44"/>
      <x:c r="J115" s="44"/>
      <x:c r="K115" s="44"/>
      <x:c r="L115" s="44"/>
      <x:c r="M115" s="44"/>
      <x:c r="N115" s="76"/>
      <x:c r="O115" s="45" t="str">
        <x:f>IF(OR(E115="",F115="",G115="",H115=""),"INCOMPLETE",IF(AND(H115="NOT APPLICABLE",J115&lt;&gt;""),"ERROR: RESULT SET FOR NOT APPLICABLE",IF(AND(H115="APPLICABLE",J115=""),"INCOMPLETE: RESULT REQUIRED",IF(AND(J115="APPROVED DEVIATION",L115=""),"INCOMPLETE: DEVIATION ID REQUIRED","READY"))))</x:f>
        <x:v>INCOMPLETE</x:v>
      </x:c>
    </x:row>
    <x:row r="116" ht="68" customHeight="1">
      <x:c r="A116" s="43" t="str">
        <x:v>AERA-GOV-001</x:v>
      </x:c>
      <x:c r="B116" s="44" t="str">
        <x:v>GOV</x:v>
      </x:c>
      <x:c r="C116" s="44" t="str">
        <x:v>Each autonomous decision class SHALL have a named human or governing body accountable for mission legitimacy, delegated authority, residual risk, suspension, and reassessment.</x:v>
      </x:c>
      <x:c r="D116" s="44" t="str">
        <x:v>1.2 WD</x:v>
      </x:c>
      <x:c r="E116" s="44"/>
      <x:c r="F116" s="44"/>
      <x:c r="G116" s="44" t="str">
        <x:v>AERA-001-1.2WD-20260807.1-APPL-1</x:v>
      </x:c>
      <x:c r="H116" s="44"/>
      <x:c r="I116" s="44"/>
      <x:c r="J116" s="44"/>
      <x:c r="K116" s="44"/>
      <x:c r="L116" s="44"/>
      <x:c r="M116" s="44"/>
      <x:c r="N116" s="76"/>
      <x:c r="O116" s="45" t="str">
        <x:f>IF(OR(E116="",F116="",G116="",H116=""),"INCOMPLETE",IF(AND(H116="NOT APPLICABLE",J116&lt;&gt;""),"ERROR: RESULT SET FOR NOT APPLICABLE",IF(AND(H116="APPLICABLE",J116=""),"INCOMPLETE: RESULT REQUIRED",IF(AND(J116="APPROVED DEVIATION",L116=""),"INCOMPLETE: DEVIATION ID REQUIRED","READY"))))</x:f>
        <x:v>INCOMPLETE</x:v>
      </x:c>
    </x:row>
    <x:row r="117" ht="68" customHeight="1">
      <x:c r="A117" s="43" t="str">
        <x:v>AERA-GOV-002</x:v>
      </x:c>
      <x:c r="B117" s="44" t="str">
        <x:v>GOV</x:v>
      </x:c>
      <x:c r="C117" s="44" t="str">
        <x:v>Governance SHALL review performance, overrides, near misses, adverse effects, anomalies, deviations, recovery, and material authority/policy/threat/consequence/obligation changes at defined cadence and triggers.</x:v>
      </x:c>
      <x:c r="D117" s="44" t="str">
        <x:v>1.2 WD</x:v>
      </x:c>
      <x:c r="E117" s="44"/>
      <x:c r="F117" s="44"/>
      <x:c r="G117" s="44" t="str">
        <x:v>AERA-001-1.2WD-20260807.1-APPL-1</x:v>
      </x:c>
      <x:c r="H117" s="44"/>
      <x:c r="I117" s="44"/>
      <x:c r="J117" s="44"/>
      <x:c r="K117" s="44"/>
      <x:c r="L117" s="44"/>
      <x:c r="M117" s="44"/>
      <x:c r="N117" s="76"/>
      <x:c r="O117" s="45" t="str">
        <x:f>IF(OR(E117="",F117="",G117="",H117=""),"INCOMPLETE",IF(AND(H117="NOT APPLICABLE",J117&lt;&gt;""),"ERROR: RESULT SET FOR NOT APPLICABLE",IF(AND(H117="APPLICABLE",J117=""),"INCOMPLETE: RESULT REQUIRED",IF(AND(J117="APPROVED DEVIATION",L117=""),"INCOMPLETE: DEVIATION ID REQUIRED","READY"))))</x:f>
        <x:v>INCOMPLETE</x:v>
      </x:c>
    </x:row>
    <x:row r="118" ht="68" customHeight="1">
      <x:c r="A118" s="43" t="str">
        <x:v>AERA-GOV-003</x:v>
      </x:c>
      <x:c r="B118" s="44" t="str">
        <x:v>GOV</x:v>
      </x:c>
      <x:c r="C118" s="44" t="str">
        <x:v>Applicable privacy, civil-rights, equity, safety, transparency, recordkeeping, redress, and data-governance obligations SHALL be identified for each decision class and translated into enforceable intent, policy, evidence, and oversight requirements.</x:v>
      </x:c>
      <x:c r="D118" s="44" t="str">
        <x:v>1.2 WD</x:v>
      </x:c>
      <x:c r="E118" s="44"/>
      <x:c r="F118" s="44"/>
      <x:c r="G118" s="44" t="str">
        <x:v>AERA-001-1.2WD-20260807.1-APPL-1</x:v>
      </x:c>
      <x:c r="H118" s="44"/>
      <x:c r="I118" s="44"/>
      <x:c r="J118" s="44"/>
      <x:c r="K118" s="44"/>
      <x:c r="L118" s="44"/>
      <x:c r="M118" s="44"/>
      <x:c r="N118" s="76"/>
      <x:c r="O118" s="45" t="str">
        <x:f>IF(OR(E118="",F118="",G118="",H118=""),"INCOMPLETE",IF(AND(H118="NOT APPLICABLE",J118&lt;&gt;""),"ERROR: RESULT SET FOR NOT APPLICABLE",IF(AND(H118="APPLICABLE",J118=""),"INCOMPLETE: RESULT REQUIRED",IF(AND(J118="APPROVED DEVIATION",L118=""),"INCOMPLETE: DEVIATION ID REQUIRED","READY"))))</x:f>
        <x:v>INCOMPLETE</x:v>
      </x:c>
    </x:row>
    <x:row r="119" ht="68" customHeight="1">
      <x:c r="A119" s="43" t="str">
        <x:v>AERA-GOV-004</x:v>
      </x:c>
      <x:c r="B119" s="44" t="str">
        <x:v>GOV</x:v>
      </x:c>
      <x:c r="C119" s="44" t="str">
        <x:v>A consequence-material decision class affecting people SHALL define notice, contestability, human review, and redress mechanisms, or SHALL document the legal and mission basis for inapplicability.</x:v>
      </x:c>
      <x:c r="D119" s="44" t="str">
        <x:v>1.2 WD</x:v>
      </x:c>
      <x:c r="E119" s="44"/>
      <x:c r="F119" s="44"/>
      <x:c r="G119" s="44" t="str">
        <x:v>AERA-001-1.2WD-20260807.1-APPL-1</x:v>
      </x:c>
      <x:c r="H119" s="44"/>
      <x:c r="I119" s="44"/>
      <x:c r="J119" s="44"/>
      <x:c r="K119" s="44"/>
      <x:c r="L119" s="44"/>
      <x:c r="M119" s="44"/>
      <x:c r="N119" s="76"/>
      <x:c r="O119" s="45" t="str">
        <x:f>IF(OR(E119="",F119="",G119="",H119=""),"INCOMPLETE",IF(AND(H119="NOT APPLICABLE",J119&lt;&gt;""),"ERROR: RESULT SET FOR NOT APPLICABLE",IF(AND(H119="APPLICABLE",J119=""),"INCOMPLETE: RESULT REQUIRED",IF(AND(J119="APPROVED DEVIATION",L119=""),"INCOMPLETE: DEVIATION ID REQUIRED","READY"))))</x:f>
        <x:v>INCOMPLETE</x:v>
      </x:c>
    </x:row>
    <x:row r="120" ht="68" customHeight="1">
      <x:c r="A120" s="43" t="str">
        <x:v>AERA-GOVR-001</x:v>
      </x:c>
      <x:c r="B120" s="44" t="str">
        <x:v>GOVR</x:v>
      </x:c>
      <x:c r="C120" s="44" t="str">
        <x:v>Every normative change SHALL identify impact on definitions, requirements, interfaces, schemas, threats, crosswalks and conformance.</x:v>
      </x:c>
      <x:c r="D120" s="44" t="str">
        <x:v>1.2 WD</x:v>
      </x:c>
      <x:c r="E120" s="44"/>
      <x:c r="F120" s="44"/>
      <x:c r="G120" s="44" t="str">
        <x:v>AERA-001-1.2WD-20260807.1-APPL-1</x:v>
      </x:c>
      <x:c r="H120" s="44"/>
      <x:c r="I120" s="44"/>
      <x:c r="J120" s="44"/>
      <x:c r="K120" s="44"/>
      <x:c r="L120" s="44"/>
      <x:c r="M120" s="44"/>
      <x:c r="N120" s="76"/>
      <x:c r="O120" s="45" t="str">
        <x:f>IF(OR(E120="",F120="",G120="",H120=""),"INCOMPLETE",IF(AND(H120="NOT APPLICABLE",J120&lt;&gt;""),"ERROR: RESULT SET FOR NOT APPLICABLE",IF(AND(H120="APPLICABLE",J120=""),"INCOMPLETE: RESULT REQUIRED",IF(AND(J120="APPROVED DEVIATION",L120=""),"INCOMPLETE: DEVIATION ID REQUIRED","READY"))))</x:f>
        <x:v>INCOMPLETE</x:v>
      </x:c>
    </x:row>
    <x:row r="121" ht="68" customHeight="1">
      <x:c r="A121" s="43" t="str">
        <x:v>AERA-GOVR-002</x:v>
      </x:c>
      <x:c r="B121" s="44" t="str">
        <x:v>GOVR</x:v>
      </x:c>
      <x:c r="C121" s="44" t="str">
        <x:v>Sector profiles SHALL preserve or strengthen the AERA core control floor.</x:v>
      </x:c>
      <x:c r="D121" s="44" t="str">
        <x:v>1.2 WD</x:v>
      </x:c>
      <x:c r="E121" s="44"/>
      <x:c r="F121" s="44"/>
      <x:c r="G121" s="44" t="str">
        <x:v>AERA-001-1.2WD-20260807.1-APPL-1</x:v>
      </x:c>
      <x:c r="H121" s="44"/>
      <x:c r="I121" s="44"/>
      <x:c r="J121" s="44"/>
      <x:c r="K121" s="44"/>
      <x:c r="L121" s="44"/>
      <x:c r="M121" s="44"/>
      <x:c r="N121" s="76"/>
      <x:c r="O121" s="45" t="str">
        <x:f>IF(OR(E121="",F121="",G121="",H121=""),"INCOMPLETE",IF(AND(H121="NOT APPLICABLE",J121&lt;&gt;""),"ERROR: RESULT SET FOR NOT APPLICABLE",IF(AND(H121="APPLICABLE",J121=""),"INCOMPLETE: RESULT REQUIRED",IF(AND(J121="APPROVED DEVIATION",L121=""),"INCOMPLETE: DEVIATION ID REQUIRED","READY"))))</x:f>
        <x:v>INCOMPLETE</x:v>
      </x:c>
    </x:row>
    <x:row r="122" ht="68" customHeight="1">
      <x:c r="A122" s="43" t="str">
        <x:v>AERA-GOVR-003</x:v>
      </x:c>
      <x:c r="B122" s="44" t="str">
        <x:v>GOVR</x:v>
      </x:c>
      <x:c r="C122" s="44" t="str">
        <x:v>A conformance claim SHALL remain bound to the AERA edition assessed.</x:v>
      </x:c>
      <x:c r="D122" s="44" t="str">
        <x:v>1.2 WD</x:v>
      </x:c>
      <x:c r="E122" s="44"/>
      <x:c r="F122" s="44"/>
      <x:c r="G122" s="44" t="str">
        <x:v>AERA-001-1.2WD-20260807.1-APPL-1</x:v>
      </x:c>
      <x:c r="H122" s="44"/>
      <x:c r="I122" s="44"/>
      <x:c r="J122" s="44"/>
      <x:c r="K122" s="44"/>
      <x:c r="L122" s="44"/>
      <x:c r="M122" s="44"/>
      <x:c r="N122" s="76"/>
      <x:c r="O122" s="45" t="str">
        <x:f>IF(OR(E122="",F122="",G122="",H122=""),"INCOMPLETE",IF(AND(H122="NOT APPLICABLE",J122&lt;&gt;""),"ERROR: RESULT SET FOR NOT APPLICABLE",IF(AND(H122="APPLICABLE",J122=""),"INCOMPLETE: RESULT REQUIRED",IF(AND(J122="APPROVED DEVIATION",L122=""),"INCOMPLETE: DEVIATION ID REQUIRED","READY"))))</x:f>
        <x:v>INCOMPLETE</x:v>
      </x:c>
    </x:row>
    <x:row r="123" ht="68" customHeight="1">
      <x:c r="A123" s="43" t="str">
        <x:v>AERA-GOVR-004</x:v>
      </x:c>
      <x:c r="B123" s="44" t="str">
        <x:v>GOVR</x:v>
      </x:c>
      <x:c r="C123" s="44" t="str">
        <x:v>External mappings SHALL be versioned, directional and reviewed on source or AERA revision.</x:v>
      </x:c>
      <x:c r="D123" s="44" t="str">
        <x:v>1.2 WD</x:v>
      </x:c>
      <x:c r="E123" s="44"/>
      <x:c r="F123" s="44"/>
      <x:c r="G123" s="44" t="str">
        <x:v>AERA-001-1.2WD-20260807.1-APPL-1</x:v>
      </x:c>
      <x:c r="H123" s="44"/>
      <x:c r="I123" s="44"/>
      <x:c r="J123" s="44"/>
      <x:c r="K123" s="44"/>
      <x:c r="L123" s="44"/>
      <x:c r="M123" s="44"/>
      <x:c r="N123" s="76"/>
      <x:c r="O123" s="45" t="str">
        <x:f>IF(OR(E123="",F123="",G123="",H123=""),"INCOMPLETE",IF(AND(H123="NOT APPLICABLE",J123&lt;&gt;""),"ERROR: RESULT SET FOR NOT APPLICABLE",IF(AND(H123="APPLICABLE",J123=""),"INCOMPLETE: RESULT REQUIRED",IF(AND(J123="APPROVED DEVIATION",L123=""),"INCOMPLETE: DEVIATION ID REQUIRED","READY"))))</x:f>
        <x:v>INCOMPLETE</x:v>
      </x:c>
    </x:row>
    <x:row r="124" ht="68" customHeight="1">
      <x:c r="A124" s="43" t="str">
        <x:v>AERA-GOVR-005</x:v>
      </x:c>
      <x:c r="B124" s="44" t="str">
        <x:v>GOVR</x:v>
      </x:c>
      <x:c r="C124" s="44" t="str">
        <x:v>An urgent advisory SHALL identify scope, evidence, required action and expiration or incorporation path.</x:v>
      </x:c>
      <x:c r="D124" s="44" t="str">
        <x:v>1.2 WD</x:v>
      </x:c>
      <x:c r="E124" s="44"/>
      <x:c r="F124" s="44"/>
      <x:c r="G124" s="44" t="str">
        <x:v>AERA-001-1.2WD-20260807.1-APPL-1</x:v>
      </x:c>
      <x:c r="H124" s="44"/>
      <x:c r="I124" s="44"/>
      <x:c r="J124" s="44"/>
      <x:c r="K124" s="44"/>
      <x:c r="L124" s="44"/>
      <x:c r="M124" s="44"/>
      <x:c r="N124" s="76"/>
      <x:c r="O124" s="45" t="str">
        <x:f>IF(OR(E124="",F124="",G124="",H124=""),"INCOMPLETE",IF(AND(H124="NOT APPLICABLE",J124&lt;&gt;""),"ERROR: RESULT SET FOR NOT APPLICABLE",IF(AND(H124="APPLICABLE",J124=""),"INCOMPLETE: RESULT REQUIRED",IF(AND(J124="APPROVED DEVIATION",L124=""),"INCOMPLETE: DEVIATION ID REQUIRED","READY"))))</x:f>
        <x:v>INCOMPLETE</x:v>
      </x:c>
    </x:row>
    <x:row r="125" ht="68" customHeight="1">
      <x:c r="A125" s="43" t="str">
        <x:v>AERA-GOVR-006</x:v>
      </x:c>
      <x:c r="B125" s="44" t="str">
        <x:v>GOVR</x:v>
      </x:c>
      <x:c r="C125" s="44" t="str">
        <x:v>The controlled publication process SHALL maintain a public, versioned change record that links each material comment or proposal to its disposition, rationale, affected artifacts, and effective edition.</x:v>
      </x:c>
      <x:c r="D125" s="44" t="str">
        <x:v>1.2 WD</x:v>
      </x:c>
      <x:c r="E125" s="44"/>
      <x:c r="F125" s="44"/>
      <x:c r="G125" s="44" t="str">
        <x:v>AERA-001-1.2WD-20260807.1-APPL-1</x:v>
      </x:c>
      <x:c r="H125" s="44"/>
      <x:c r="I125" s="44"/>
      <x:c r="J125" s="44"/>
      <x:c r="K125" s="44"/>
      <x:c r="L125" s="44"/>
      <x:c r="M125" s="44"/>
      <x:c r="N125" s="76"/>
      <x:c r="O125" s="45" t="str">
        <x:f>IF(OR(E125="",F125="",G125="",H125=""),"INCOMPLETE",IF(AND(H125="NOT APPLICABLE",J125&lt;&gt;""),"ERROR: RESULT SET FOR NOT APPLICABLE",IF(AND(H125="APPLICABLE",J125=""),"INCOMPLETE: RESULT REQUIRED",IF(AND(J125="APPROVED DEVIATION",L125=""),"INCOMPLETE: DEVIATION ID REQUIRED","READY"))))</x:f>
        <x:v>INCOMPLETE</x:v>
      </x:c>
    </x:row>
    <x:row r="126" ht="68" customHeight="1">
      <x:c r="A126" s="43" t="str">
        <x:v>AERA-GOVR-007</x:v>
      </x:c>
      <x:c r="B126" s="44" t="str">
        <x:v>GOVR</x:v>
      </x:c>
      <x:c r="C126" s="44" t="str">
        <x:v>The publication process SHALL identify editor, contributor, reviewer, pilot, and assessor roles and SHALL disclose relevant competence, organizational affiliation, sponsorship, and conflicts of interest.</x:v>
      </x:c>
      <x:c r="D126" s="44" t="str">
        <x:v>1.2 WD</x:v>
      </x:c>
      <x:c r="E126" s="44"/>
      <x:c r="F126" s="44"/>
      <x:c r="G126" s="44" t="str">
        <x:v>AERA-001-1.2WD-20260807.1-APPL-1</x:v>
      </x:c>
      <x:c r="H126" s="44"/>
      <x:c r="I126" s="44"/>
      <x:c r="J126" s="44"/>
      <x:c r="K126" s="44"/>
      <x:c r="L126" s="44"/>
      <x:c r="M126" s="44"/>
      <x:c r="N126" s="76"/>
      <x:c r="O126" s="45" t="str">
        <x:f>IF(OR(E126="",F126="",G126="",H126=""),"INCOMPLETE",IF(AND(H126="NOT APPLICABLE",J126&lt;&gt;""),"ERROR: RESULT SET FOR NOT APPLICABLE",IF(AND(H126="APPLICABLE",J126=""),"INCOMPLETE: RESULT REQUIRED",IF(AND(J126="APPROVED DEVIATION",L126=""),"INCOMPLETE: DEVIATION ID REQUIRED","READY"))))</x:f>
        <x:v>INCOMPLETE</x:v>
      </x:c>
    </x:row>
    <x:row r="127" ht="68" customHeight="1">
      <x:c r="A127" s="43" t="str">
        <x:v>AERA-GOVR-008</x:v>
      </x:c>
      <x:c r="B127" s="44" t="str">
        <x:v>GOVR</x:v>
      </x:c>
      <x:c r="C127" s="44" t="str">
        <x:v>A proposed normative revision SHALL receive a defined multistakeholder review period, preserve substantive dissent, and publish disposition before it is represented as a consensus release.</x:v>
      </x:c>
      <x:c r="D127" s="44" t="str">
        <x:v>1.2 WD</x:v>
      </x:c>
      <x:c r="E127" s="44"/>
      <x:c r="F127" s="44"/>
      <x:c r="G127" s="44" t="str">
        <x:v>AERA-001-1.2WD-20260807.1-APPL-1</x:v>
      </x:c>
      <x:c r="H127" s="44"/>
      <x:c r="I127" s="44"/>
      <x:c r="J127" s="44"/>
      <x:c r="K127" s="44"/>
      <x:c r="L127" s="44"/>
      <x:c r="M127" s="44"/>
      <x:c r="N127" s="76"/>
      <x:c r="O127" s="45" t="str">
        <x:f>IF(OR(E127="",F127="",G127="",H127=""),"INCOMPLETE",IF(AND(H127="NOT APPLICABLE",J127&lt;&gt;""),"ERROR: RESULT SET FOR NOT APPLICABLE",IF(AND(H127="APPLICABLE",J127=""),"INCOMPLETE: RESULT REQUIRED",IF(AND(J127="APPROVED DEVIATION",L127=""),"INCOMPLETE: DEVIATION ID REQUIRED","READY"))))</x:f>
        <x:v>INCOMPLETE</x:v>
      </x:c>
    </x:row>
    <x:row r="128" ht="68" customHeight="1">
      <x:c r="A128" s="43" t="str">
        <x:v>AERA-GOVR-009</x:v>
      </x:c>
      <x:c r="B128" s="44" t="str">
        <x:v>GOVR</x:v>
      </x:c>
      <x:c r="C128" s="44" t="str">
        <x:v>Human-readable and machine-readable normative artifacts SHALL be generated from or reconciled to one authoritative controlled source, carry the same edition identifier, and pass semantic and integrity checks before release.</x:v>
      </x:c>
      <x:c r="D128" s="44" t="str">
        <x:v>1.2 WD</x:v>
      </x:c>
      <x:c r="E128" s="44"/>
      <x:c r="F128" s="44"/>
      <x:c r="G128" s="44" t="str">
        <x:v>AERA-001-1.2WD-20260807.1-APPL-1</x:v>
      </x:c>
      <x:c r="H128" s="44"/>
      <x:c r="I128" s="44"/>
      <x:c r="J128" s="44"/>
      <x:c r="K128" s="44"/>
      <x:c r="L128" s="44"/>
      <x:c r="M128" s="44"/>
      <x:c r="N128" s="76"/>
      <x:c r="O128" s="45" t="str">
        <x:f>IF(OR(E128="",F128="",G128="",H128=""),"INCOMPLETE",IF(AND(H128="NOT APPLICABLE",J128&lt;&gt;""),"ERROR: RESULT SET FOR NOT APPLICABLE",IF(AND(H128="APPLICABLE",J128=""),"INCOMPLETE: RESULT REQUIRED",IF(AND(J128="APPROVED DEVIATION",L128=""),"INCOMPLETE: DEVIATION ID REQUIRED","READY"))))</x:f>
        <x:v>INCOMPLETE</x:v>
      </x:c>
    </x:row>
    <x:row r="129" ht="68" customHeight="1">
      <x:c r="A129" s="43" t="str">
        <x:v>AERA-GOVR-010</x:v>
      </x:c>
      <x:c r="B129" s="44" t="str">
        <x:v>GOVR</x:v>
      </x:c>
      <x:c r="C129" s="44" t="str">
        <x:v>A maturity, conformance, interoperability, or effectiveness claim SHALL state the assessed population, assessor independence, evidence period, known limitations, and whether multi-organization or inter-rater validation has been completed.</x:v>
      </x:c>
      <x:c r="D129" s="44" t="str">
        <x:v>1.2 WD</x:v>
      </x:c>
      <x:c r="E129" s="44"/>
      <x:c r="F129" s="44"/>
      <x:c r="G129" s="44" t="str">
        <x:v>AERA-001-1.2WD-20260807.1-APPL-1</x:v>
      </x:c>
      <x:c r="H129" s="44"/>
      <x:c r="I129" s="44"/>
      <x:c r="J129" s="44"/>
      <x:c r="K129" s="44"/>
      <x:c r="L129" s="44"/>
      <x:c r="M129" s="44"/>
      <x:c r="N129" s="76"/>
      <x:c r="O129" s="45" t="str">
        <x:f>IF(OR(E129="",F129="",G129="",H129=""),"INCOMPLETE",IF(AND(H129="NOT APPLICABLE",J129&lt;&gt;""),"ERROR: RESULT SET FOR NOT APPLICABLE",IF(AND(H129="APPLICABLE",J129=""),"INCOMPLETE: RESULT REQUIRED",IF(AND(J129="APPROVED DEVIATION",L129=""),"INCOMPLETE: DEVIATION ID REQUIRED","READY"))))</x:f>
        <x:v>INCOMPLETE</x:v>
      </x:c>
    </x:row>
    <x:row r="130" ht="68" customHeight="1">
      <x:c r="A130" s="43" t="str">
        <x:v>AERA-GOVR-011</x:v>
      </x:c>
      <x:c r="B130" s="44" t="str">
        <x:v>GOVR</x:v>
      </x:c>
      <x:c r="C130" s="44" t="str">
        <x:v>Each public edition SHALL state its copyright, license, contribution terms, permitted uses, and intellectual-property process before external redistribution or standards submission.</x:v>
      </x:c>
      <x:c r="D130" s="44" t="str">
        <x:v>1.2 WD</x:v>
      </x:c>
      <x:c r="E130" s="44"/>
      <x:c r="F130" s="44"/>
      <x:c r="G130" s="44" t="str">
        <x:v>AERA-001-1.2WD-20260807.1-APPL-1</x:v>
      </x:c>
      <x:c r="H130" s="44"/>
      <x:c r="I130" s="44"/>
      <x:c r="J130" s="44"/>
      <x:c r="K130" s="44"/>
      <x:c r="L130" s="44"/>
      <x:c r="M130" s="44"/>
      <x:c r="N130" s="76"/>
      <x:c r="O130" s="45" t="str">
        <x:f>IF(OR(E130="",F130="",G130="",H130=""),"INCOMPLETE",IF(AND(H130="NOT APPLICABLE",J130&lt;&gt;""),"ERROR: RESULT SET FOR NOT APPLICABLE",IF(AND(H130="APPLICABLE",J130=""),"INCOMPLETE: RESULT REQUIRED",IF(AND(J130="APPROVED DEVIATION",L130=""),"INCOMPLETE: DEVIATION ID REQUIRED","READY"))))</x:f>
        <x:v>INCOMPLETE</x:v>
      </x:c>
    </x:row>
    <x:row r="131" ht="68" customHeight="1">
      <x:c r="A131" s="43" t="str">
        <x:v>AERA-GOVR-012</x:v>
      </x:c>
      <x:c r="B131" s="44" t="str">
        <x:v>GOVR</x:v>
      </x:c>
      <x:c r="C131" s="44" t="str">
        <x:v>A released artifact SHALL be immutable; any byte-changing replacement SHALL receive a new build identifier and manifest, and any normative change SHALL receive a new specification version.</x:v>
      </x:c>
      <x:c r="D131" s="44" t="str">
        <x:v>1.2 WD</x:v>
      </x:c>
      <x:c r="E131" s="44"/>
      <x:c r="F131" s="44"/>
      <x:c r="G131" s="44" t="str">
        <x:v>AERA-001-1.2WD-20260807.1-APPL-1</x:v>
      </x:c>
      <x:c r="H131" s="44"/>
      <x:c r="I131" s="44"/>
      <x:c r="J131" s="44"/>
      <x:c r="K131" s="44"/>
      <x:c r="L131" s="44"/>
      <x:c r="M131" s="44"/>
      <x:c r="N131" s="76"/>
      <x:c r="O131" s="45" t="str">
        <x:f>IF(OR(E131="",F131="",G131="",H131=""),"INCOMPLETE",IF(AND(H131="NOT APPLICABLE",J131&lt;&gt;""),"ERROR: RESULT SET FOR NOT APPLICABLE",IF(AND(H131="APPLICABLE",J131=""),"INCOMPLETE: RESULT REQUIRED",IF(AND(J131="APPROVED DEVIATION",L131=""),"INCOMPLETE: DEVIATION ID REQUIRED","READY"))))</x:f>
        <x:v>INCOMPLETE</x:v>
      </x:c>
    </x:row>
    <x:row r="132" ht="68" customHeight="1">
      <x:c r="A132" s="43" t="str">
        <x:v>AERA-HUM-101</x:v>
      </x:c>
      <x:c r="B132" s="44" t="str">
        <x:v>HUM</x:v>
      </x:c>
      <x:c r="C132" s="44" t="str">
        <x:v>Every decision class SHALL designate an accountable human authority and the applicable human-control mode.</x:v>
      </x:c>
      <x:c r="D132" s="44" t="str">
        <x:v>1.2 WD</x:v>
      </x:c>
      <x:c r="E132" s="44"/>
      <x:c r="F132" s="44"/>
      <x:c r="G132" s="44" t="str">
        <x:v>AERA-001-1.2WD-20260807.1-APPL-1</x:v>
      </x:c>
      <x:c r="H132" s="44"/>
      <x:c r="I132" s="44"/>
      <x:c r="J132" s="44"/>
      <x:c r="K132" s="44"/>
      <x:c r="L132" s="44"/>
      <x:c r="M132" s="44"/>
      <x:c r="N132" s="76"/>
      <x:c r="O132" s="45" t="str">
        <x:f>IF(OR(E132="",F132="",G132="",H132=""),"INCOMPLETE",IF(AND(H132="NOT APPLICABLE",J132&lt;&gt;""),"ERROR: RESULT SET FOR NOT APPLICABLE",IF(AND(H132="APPLICABLE",J132=""),"INCOMPLETE: RESULT REQUIRED",IF(AND(J132="APPROVED DEVIATION",L132=""),"INCOMPLETE: DEVIATION ID REQUIRED","READY"))))</x:f>
        <x:v>INCOMPLETE</x:v>
      </x:c>
    </x:row>
    <x:row r="133" ht="68" customHeight="1">
      <x:c r="A133" s="43" t="str">
        <x:v>AERA-HUM-102</x:v>
      </x:c>
      <x:c r="B133" s="44" t="str">
        <x:v>HUM</x:v>
      </x:c>
      <x:c r="C133" s="44" t="str">
        <x:v>CC-3 and CC-4 operation SHALL use positive oversight unless a governance-approved preauthorized envelope is validated for the decision tempo.</x:v>
      </x:c>
      <x:c r="D133" s="44" t="str">
        <x:v>1.2 WD</x:v>
      </x:c>
      <x:c r="E133" s="44"/>
      <x:c r="F133" s="44"/>
      <x:c r="G133" s="44" t="str">
        <x:v>AERA-001-1.2WD-20260807.1-APPL-1</x:v>
      </x:c>
      <x:c r="H133" s="44"/>
      <x:c r="I133" s="44"/>
      <x:c r="J133" s="44"/>
      <x:c r="K133" s="44"/>
      <x:c r="L133" s="44"/>
      <x:c r="M133" s="44"/>
      <x:c r="N133" s="76"/>
      <x:c r="O133" s="45" t="str">
        <x:f>IF(OR(E133="",F133="",G133="",H133=""),"INCOMPLETE",IF(AND(H133="NOT APPLICABLE",J133&lt;&gt;""),"ERROR: RESULT SET FOR NOT APPLICABLE",IF(AND(H133="APPLICABLE",J133=""),"INCOMPLETE: RESULT REQUIRED",IF(AND(J133="APPROVED DEVIATION",L133=""),"INCOMPLETE: DEVIATION ID REQUIRED","READY"))))</x:f>
        <x:v>INCOMPLETE</x:v>
      </x:c>
    </x:row>
    <x:row r="134" ht="68" customHeight="1">
      <x:c r="A134" s="43" t="str">
        <x:v>AERA-HUM-103</x:v>
      </x:c>
      <x:c r="B134" s="44" t="str">
        <x:v>HUM</x:v>
      </x:c>
      <x:c r="C134" s="44" t="str">
        <x:v>A human approval interface SHALL present decisive evidence, uncertainty, alternatives, expected effects and recovery options.</x:v>
      </x:c>
      <x:c r="D134" s="44" t="str">
        <x:v>1.2 WD</x:v>
      </x:c>
      <x:c r="E134" s="44"/>
      <x:c r="F134" s="44"/>
      <x:c r="G134" s="44" t="str">
        <x:v>AERA-001-1.2WD-20260807.1-APPL-1</x:v>
      </x:c>
      <x:c r="H134" s="44"/>
      <x:c r="I134" s="44"/>
      <x:c r="J134" s="44"/>
      <x:c r="K134" s="44"/>
      <x:c r="L134" s="44"/>
      <x:c r="M134" s="44"/>
      <x:c r="N134" s="76"/>
      <x:c r="O134" s="45" t="str">
        <x:f>IF(OR(E134="",F134="",G134="",H134=""),"INCOMPLETE",IF(AND(H134="NOT APPLICABLE",J134&lt;&gt;""),"ERROR: RESULT SET FOR NOT APPLICABLE",IF(AND(H134="APPLICABLE",J134=""),"INCOMPLETE: RESULT REQUIRED",IF(AND(J134="APPROVED DEVIATION",L134=""),"INCOMPLETE: DEVIATION ID REQUIRED","READY"))))</x:f>
        <x:v>INCOMPLETE</x:v>
      </x:c>
    </x:row>
    <x:row r="135" ht="68" customHeight="1">
      <x:c r="A135" s="43" t="str">
        <x:v>AERA-HUM-104</x:v>
      </x:c>
      <x:c r="B135" s="44" t="str">
        <x:v>HUM</x:v>
      </x:c>
      <x:c r="C135" s="44" t="str">
        <x:v>Emergency authority SHALL remain purpose-limited, time-bounded, attributable and unable to waive constraints outside the issuer authority.</x:v>
      </x:c>
      <x:c r="D135" s="44" t="str">
        <x:v>1.2 WD</x:v>
      </x:c>
      <x:c r="E135" s="44"/>
      <x:c r="F135" s="44"/>
      <x:c r="G135" s="44" t="str">
        <x:v>AERA-001-1.2WD-20260807.1-APPL-1</x:v>
      </x:c>
      <x:c r="H135" s="44"/>
      <x:c r="I135" s="44"/>
      <x:c r="J135" s="44"/>
      <x:c r="K135" s="44"/>
      <x:c r="L135" s="44"/>
      <x:c r="M135" s="44"/>
      <x:c r="N135" s="76"/>
      <x:c r="O135" s="45" t="str">
        <x:f>IF(OR(E135="",F135="",G135="",H135=""),"INCOMPLETE",IF(AND(H135="NOT APPLICABLE",J135&lt;&gt;""),"ERROR: RESULT SET FOR NOT APPLICABLE",IF(AND(H135="APPLICABLE",J135=""),"INCOMPLETE: RESULT REQUIRED",IF(AND(J135="APPROVED DEVIATION",L135=""),"INCOMPLETE: DEVIATION ID REQUIRED","READY"))))</x:f>
        <x:v>INCOMPLETE</x:v>
      </x:c>
    </x:row>
    <x:row r="136" ht="68" customHeight="1">
      <x:c r="A136" s="43" t="str">
        <x:v>AERA-HUM-105</x:v>
      </x:c>
      <x:c r="B136" s="44" t="str">
        <x:v>HUM</x:v>
      </x:c>
      <x:c r="C136" s="44" t="str">
        <x:v>For a CC-4 decision, the accountable authority SHALL approve the decision-class envelope and every material change; each operational transaction SHALL require transaction-specific concurrence unless a tested preauthorized envelope defines exact bounds, independent deterministic interlocks, continuous observation, revocation, and expiry.</x:v>
      </x:c>
      <x:c r="D136" s="44" t="str">
        <x:v>1.2 WD</x:v>
      </x:c>
      <x:c r="E136" s="44"/>
      <x:c r="F136" s="44"/>
      <x:c r="G136" s="44" t="str">
        <x:v>AERA-001-1.2WD-20260807.1-APPL-1</x:v>
      </x:c>
      <x:c r="H136" s="44"/>
      <x:c r="I136" s="44"/>
      <x:c r="J136" s="44"/>
      <x:c r="K136" s="44"/>
      <x:c r="L136" s="44"/>
      <x:c r="M136" s="44"/>
      <x:c r="N136" s="76"/>
      <x:c r="O136" s="45" t="str">
        <x:f>IF(OR(E136="",F136="",G136="",H136=""),"INCOMPLETE",IF(AND(H136="NOT APPLICABLE",J136&lt;&gt;""),"ERROR: RESULT SET FOR NOT APPLICABLE",IF(AND(H136="APPLICABLE",J136=""),"INCOMPLETE: RESULT REQUIRED",IF(AND(J136="APPROVED DEVIATION",L136=""),"INCOMPLETE: DEVIATION ID REQUIRED","READY"))))</x:f>
        <x:v>INCOMPLETE</x:v>
      </x:c>
    </x:row>
    <x:row r="137" ht="68" customHeight="1">
      <x:c r="A137" s="43" t="str">
        <x:v>AERA-IF-001</x:v>
      </x:c>
      <x:c r="B137" s="44" t="str">
        <x:v>IF</x:v>
      </x:c>
      <x:c r="C137" s="44" t="str">
        <x:v>Decision-relevant interfaces SHALL identify object schema and version, producer identity, integrity state and temporal validity.</x:v>
      </x:c>
      <x:c r="D137" s="44" t="str">
        <x:v>1.2 WD</x:v>
      </x:c>
      <x:c r="E137" s="44"/>
      <x:c r="F137" s="44"/>
      <x:c r="G137" s="44" t="str">
        <x:v>AERA-001-1.2WD-20260807.1-APPL-1</x:v>
      </x:c>
      <x:c r="H137" s="44"/>
      <x:c r="I137" s="44"/>
      <x:c r="J137" s="44"/>
      <x:c r="K137" s="44"/>
      <x:c r="L137" s="44"/>
      <x:c r="M137" s="44"/>
      <x:c r="N137" s="76"/>
      <x:c r="O137" s="45" t="str">
        <x:f>IF(OR(E137="",F137="",G137="",H137=""),"INCOMPLETE",IF(AND(H137="NOT APPLICABLE",J137&lt;&gt;""),"ERROR: RESULT SET FOR NOT APPLICABLE",IF(AND(H137="APPLICABLE",J137=""),"INCOMPLETE: RESULT REQUIRED",IF(AND(J137="APPROVED DEVIATION",L137=""),"INCOMPLETE: DEVIATION ID REQUIRED","READY"))))</x:f>
        <x:v>INCOMPLETE</x:v>
      </x:c>
    </x:row>
    <x:row r="138" ht="68" customHeight="1">
      <x:c r="A138" s="43" t="str">
        <x:v>AERA-IF-002</x:v>
      </x:c>
      <x:c r="B138" s="44" t="str">
        <x:v>IF</x:v>
      </x:c>
      <x:c r="C138" s="44" t="str">
        <x:v>A material change to a bound object SHALL create a new version and trigger policy-defined reassessment.</x:v>
      </x:c>
      <x:c r="D138" s="44" t="str">
        <x:v>1.2 WD</x:v>
      </x:c>
      <x:c r="E138" s="44"/>
      <x:c r="F138" s="44"/>
      <x:c r="G138" s="44" t="str">
        <x:v>AERA-001-1.2WD-20260807.1-APPL-1</x:v>
      </x:c>
      <x:c r="H138" s="44"/>
      <x:c r="I138" s="44"/>
      <x:c r="J138" s="44"/>
      <x:c r="K138" s="44"/>
      <x:c r="L138" s="44"/>
      <x:c r="M138" s="44"/>
      <x:c r="N138" s="76"/>
      <x:c r="O138" s="45" t="str">
        <x:f>IF(OR(E138="",F138="",G138="",H138=""),"INCOMPLETE",IF(AND(H138="NOT APPLICABLE",J138&lt;&gt;""),"ERROR: RESULT SET FOR NOT APPLICABLE",IF(AND(H138="APPLICABLE",J138=""),"INCOMPLETE: RESULT REQUIRED",IF(AND(J138="APPROVED DEVIATION",L138=""),"INCOMPLETE: DEVIATION ID REQUIRED","READY"))))</x:f>
        <x:v>INCOMPLETE</x:v>
      </x:c>
    </x:row>
    <x:row r="139" ht="68" customHeight="1">
      <x:c r="A139" s="43" t="str">
        <x:v>AERA-IF-003</x:v>
      </x:c>
      <x:c r="B139" s="44" t="str">
        <x:v>IF</x:v>
      </x:c>
      <x:c r="C139" s="44" t="str">
        <x:v>A consumer SHALL record whether an object was rejected, accepted, and used in the computed decision.</x:v>
      </x:c>
      <x:c r="D139" s="44" t="str">
        <x:v>1.2 WD</x:v>
      </x:c>
      <x:c r="E139" s="44"/>
      <x:c r="F139" s="44"/>
      <x:c r="G139" s="44" t="str">
        <x:v>AERA-001-1.2WD-20260807.1-APPL-1</x:v>
      </x:c>
      <x:c r="H139" s="44"/>
      <x:c r="I139" s="44"/>
      <x:c r="J139" s="44"/>
      <x:c r="K139" s="44"/>
      <x:c r="L139" s="44"/>
      <x:c r="M139" s="44"/>
      <x:c r="N139" s="76"/>
      <x:c r="O139" s="45" t="str">
        <x:f>IF(OR(E139="",F139="",G139="",H139=""),"INCOMPLETE",IF(AND(H139="NOT APPLICABLE",J139&lt;&gt;""),"ERROR: RESULT SET FOR NOT APPLICABLE",IF(AND(H139="APPLICABLE",J139=""),"INCOMPLETE: RESULT REQUIRED",IF(AND(J139="APPROVED DEVIATION",L139=""),"INCOMPLETE: DEVIATION ID REQUIRED","READY"))))</x:f>
        <x:v>INCOMPLETE</x:v>
      </x:c>
    </x:row>
    <x:row r="140" ht="68" customHeight="1">
      <x:c r="A140" s="43" t="str">
        <x:v>AERA-IF-004</x:v>
      </x:c>
      <x:c r="B140" s="44" t="str">
        <x:v>IF</x:v>
      </x:c>
      <x:c r="C140" s="44" t="str">
        <x:v>A decision trace SHALL preserve causal links across all proposal-to-effect objects.</x:v>
      </x:c>
      <x:c r="D140" s="44" t="str">
        <x:v>1.2 WD</x:v>
      </x:c>
      <x:c r="E140" s="44"/>
      <x:c r="F140" s="44"/>
      <x:c r="G140" s="44" t="str">
        <x:v>AERA-001-1.2WD-20260807.1-APPL-1</x:v>
      </x:c>
      <x:c r="H140" s="44"/>
      <x:c r="I140" s="44"/>
      <x:c r="J140" s="44"/>
      <x:c r="K140" s="44"/>
      <x:c r="L140" s="44"/>
      <x:c r="M140" s="44"/>
      <x:c r="N140" s="76"/>
      <x:c r="O140" s="45" t="str">
        <x:f>IF(OR(E140="",F140="",G140="",H140=""),"INCOMPLETE",IF(AND(H140="NOT APPLICABLE",J140&lt;&gt;""),"ERROR: RESULT SET FOR NOT APPLICABLE",IF(AND(H140="APPLICABLE",J140=""),"INCOMPLETE: RESULT REQUIRED",IF(AND(J140="APPROVED DEVIATION",L140=""),"INCOMPLETE: DEVIATION ID REQUIRED","READY"))))</x:f>
        <x:v>INCOMPLETE</x:v>
      </x:c>
    </x:row>
    <x:row r="141" ht="68" customHeight="1">
      <x:c r="A141" s="43" t="str">
        <x:v>AERA-IF-005</x:v>
      </x:c>
      <x:c r="B141" s="44" t="str">
        <x:v>IF</x:v>
      </x:c>
      <x:c r="C141" s="44" t="str">
        <x:v>Interface replay SHALL be rejected outside the use, sequence and temporal semantics of the bound transaction.</x:v>
      </x:c>
      <x:c r="D141" s="44" t="str">
        <x:v>1.2 WD</x:v>
      </x:c>
      <x:c r="E141" s="44"/>
      <x:c r="F141" s="44"/>
      <x:c r="G141" s="44" t="str">
        <x:v>AERA-001-1.2WD-20260807.1-APPL-1</x:v>
      </x:c>
      <x:c r="H141" s="44"/>
      <x:c r="I141" s="44"/>
      <x:c r="J141" s="44"/>
      <x:c r="K141" s="44"/>
      <x:c r="L141" s="44"/>
      <x:c r="M141" s="44"/>
      <x:c r="N141" s="76"/>
      <x:c r="O141" s="45" t="str">
        <x:f>IF(OR(E141="",F141="",G141="",H141=""),"INCOMPLETE",IF(AND(H141="NOT APPLICABLE",J141&lt;&gt;""),"ERROR: RESULT SET FOR NOT APPLICABLE",IF(AND(H141="APPLICABLE",J141=""),"INCOMPLETE: RESULT REQUIRED",IF(AND(J141="APPROVED DEVIATION",L141=""),"INCOMPLETE: DEVIATION ID REQUIRED","READY"))))</x:f>
        <x:v>INCOMPLETE</x:v>
      </x:c>
    </x:row>
    <x:row r="142" ht="68" customHeight="1">
      <x:c r="A142" s="43" t="str">
        <x:v>AERA-IF-006</x:v>
      </x:c>
      <x:c r="B142" s="44" t="str">
        <x:v>IF</x:v>
      </x:c>
      <x:c r="C142" s="44" t="str">
        <x:v>Cross-domain disclosure constraints SHALL NOT remove the evidence necessary to validate authority and disposition.</x:v>
      </x:c>
      <x:c r="D142" s="44" t="str">
        <x:v>1.2 WD</x:v>
      </x:c>
      <x:c r="E142" s="44"/>
      <x:c r="F142" s="44"/>
      <x:c r="G142" s="44" t="str">
        <x:v>AERA-001-1.2WD-20260807.1-APPL-1</x:v>
      </x:c>
      <x:c r="H142" s="44"/>
      <x:c r="I142" s="44"/>
      <x:c r="J142" s="44"/>
      <x:c r="K142" s="44"/>
      <x:c r="L142" s="44"/>
      <x:c r="M142" s="44"/>
      <x:c r="N142" s="76"/>
      <x:c r="O142" s="45" t="str">
        <x:f>IF(OR(E142="",F142="",G142="",H142=""),"INCOMPLETE",IF(AND(H142="NOT APPLICABLE",J142&lt;&gt;""),"ERROR: RESULT SET FOR NOT APPLICABLE",IF(AND(H142="APPLICABLE",J142=""),"INCOMPLETE: RESULT REQUIRED",IF(AND(J142="APPROVED DEVIATION",L142=""),"INCOMPLETE: DEVIATION ID REQUIRED","READY"))))</x:f>
        <x:v>INCOMPLETE</x:v>
      </x:c>
    </x:row>
    <x:row r="143" ht="68" customHeight="1">
      <x:c r="A143" s="43" t="str">
        <x:v>AERA-IF-007</x:v>
      </x:c>
      <x:c r="B143" s="44" t="str">
        <x:v>IF</x:v>
      </x:c>
      <x:c r="C143" s="44" t="str">
        <x:v>Corrections and withdrawals SHALL supersede rather than erase decision evidence.</x:v>
      </x:c>
      <x:c r="D143" s="44" t="str">
        <x:v>1.2 WD</x:v>
      </x:c>
      <x:c r="E143" s="44"/>
      <x:c r="F143" s="44"/>
      <x:c r="G143" s="44" t="str">
        <x:v>AERA-001-1.2WD-20260807.1-APPL-1</x:v>
      </x:c>
      <x:c r="H143" s="44"/>
      <x:c r="I143" s="44"/>
      <x:c r="J143" s="44"/>
      <x:c r="K143" s="44"/>
      <x:c r="L143" s="44"/>
      <x:c r="M143" s="44"/>
      <x:c r="N143" s="76"/>
      <x:c r="O143" s="45" t="str">
        <x:f>IF(OR(E143="",F143="",G143="",H143=""),"INCOMPLETE",IF(AND(H143="NOT APPLICABLE",J143&lt;&gt;""),"ERROR: RESULT SET FOR NOT APPLICABLE",IF(AND(H143="APPLICABLE",J143=""),"INCOMPLETE: RESULT REQUIRED",IF(AND(J143="APPROVED DEVIATION",L143=""),"INCOMPLETE: DEVIATION ID REQUIRED","READY"))))</x:f>
        <x:v>INCOMPLETE</x:v>
      </x:c>
    </x:row>
    <x:row r="144" ht="68" customHeight="1">
      <x:c r="A144" s="43" t="str">
        <x:v>AERA-IF-008</x:v>
      </x:c>
      <x:c r="B144" s="44" t="str">
        <x:v>IF</x:v>
      </x:c>
      <x:c r="C144" s="44" t="str">
        <x:v>Authorization and enforcement objects SHALL use the same canonical action and target representation.</x:v>
      </x:c>
      <x:c r="D144" s="44" t="str">
        <x:v>1.2 WD</x:v>
      </x:c>
      <x:c r="E144" s="44"/>
      <x:c r="F144" s="44"/>
      <x:c r="G144" s="44" t="str">
        <x:v>AERA-001-1.2WD-20260807.1-APPL-1</x:v>
      </x:c>
      <x:c r="H144" s="44"/>
      <x:c r="I144" s="44"/>
      <x:c r="J144" s="44"/>
      <x:c r="K144" s="44"/>
      <x:c r="L144" s="44"/>
      <x:c r="M144" s="44"/>
      <x:c r="N144" s="76"/>
      <x:c r="O144" s="45" t="str">
        <x:f>IF(OR(E144="",F144="",G144="",H144=""),"INCOMPLETE",IF(AND(H144="NOT APPLICABLE",J144&lt;&gt;""),"ERROR: RESULT SET FOR NOT APPLICABLE",IF(AND(H144="APPLICABLE",J144=""),"INCOMPLETE: RESULT REQUIRED",IF(AND(J144="APPROVED DEVIATION",L144=""),"INCOMPLETE: DEVIATION ID REQUIRED","READY"))))</x:f>
        <x:v>INCOMPLETE</x:v>
      </x:c>
    </x:row>
    <x:row r="145" ht="68" customHeight="1">
      <x:c r="A145" s="43" t="str">
        <x:v>AERA-IF-009</x:v>
      </x:c>
      <x:c r="B145" s="44" t="str">
        <x:v>IF</x:v>
      </x:c>
      <x:c r="C145" s="44" t="str">
        <x:v>Interface failures SHALL invoke a defined non-permit or degraded behavior.</x:v>
      </x:c>
      <x:c r="D145" s="44" t="str">
        <x:v>1.2 WD</x:v>
      </x:c>
      <x:c r="E145" s="44"/>
      <x:c r="F145" s="44"/>
      <x:c r="G145" s="44" t="str">
        <x:v>AERA-001-1.2WD-20260807.1-APPL-1</x:v>
      </x:c>
      <x:c r="H145" s="44"/>
      <x:c r="I145" s="44"/>
      <x:c r="J145" s="44"/>
      <x:c r="K145" s="44"/>
      <x:c r="L145" s="44"/>
      <x:c r="M145" s="44"/>
      <x:c r="N145" s="76"/>
      <x:c r="O145" s="45" t="str">
        <x:f>IF(OR(E145="",F145="",G145="",H145=""),"INCOMPLETE",IF(AND(H145="NOT APPLICABLE",J145&lt;&gt;""),"ERROR: RESULT SET FOR NOT APPLICABLE",IF(AND(H145="APPLICABLE",J145=""),"INCOMPLETE: RESULT REQUIRED",IF(AND(J145="APPROVED DEVIATION",L145=""),"INCOMPLETE: DEVIATION ID REQUIRED","READY"))))</x:f>
        <x:v>INCOMPLETE</x:v>
      </x:c>
    </x:row>
    <x:row r="146" ht="68" customHeight="1">
      <x:c r="A146" s="43" t="str">
        <x:v>AERA-IF-010</x:v>
      </x:c>
      <x:c r="B146" s="44" t="str">
        <x:v>IF</x:v>
      </x:c>
      <x:c r="C146" s="44" t="str">
        <x:v>Interoperability tests SHALL include version mismatch, stale object, replay and material-substitution cases.</x:v>
      </x:c>
      <x:c r="D146" s="44" t="str">
        <x:v>1.2 WD</x:v>
      </x:c>
      <x:c r="E146" s="44"/>
      <x:c r="F146" s="44"/>
      <x:c r="G146" s="44" t="str">
        <x:v>AERA-001-1.2WD-20260807.1-APPL-1</x:v>
      </x:c>
      <x:c r="H146" s="44"/>
      <x:c r="I146" s="44"/>
      <x:c r="J146" s="44"/>
      <x:c r="K146" s="44"/>
      <x:c r="L146" s="44"/>
      <x:c r="M146" s="44"/>
      <x:c r="N146" s="76"/>
      <x:c r="O146" s="45" t="str">
        <x:f>IF(OR(E146="",F146="",G146="",H146=""),"INCOMPLETE",IF(AND(H146="NOT APPLICABLE",J146&lt;&gt;""),"ERROR: RESULT SET FOR NOT APPLICABLE",IF(AND(H146="APPLICABLE",J146=""),"INCOMPLETE: RESULT REQUIRED",IF(AND(J146="APPROVED DEVIATION",L146=""),"INCOMPLETE: DEVIATION ID REQUIRED","READY"))))</x:f>
        <x:v>INCOMPLETE</x:v>
      </x:c>
    </x:row>
    <x:row r="147" ht="68" customHeight="1">
      <x:c r="A147" s="43" t="str">
        <x:v>AERA-INT-001</x:v>
      </x:c>
      <x:c r="B147" s="44" t="str">
        <x:v>INT</x:v>
      </x:c>
      <x:c r="C147" s="44" t="str">
        <x:v>Intent authorizing an effect SHALL be versioned, attributable, integrity-protected, temporally valid, and machine-testable for objectives, constraints, success, prohibitions, and stops.</x:v>
      </x:c>
      <x:c r="D147" s="44" t="str">
        <x:v>1.2 WD</x:v>
      </x:c>
      <x:c r="E147" s="44"/>
      <x:c r="F147" s="44"/>
      <x:c r="G147" s="44" t="str">
        <x:v>AERA-001-1.2WD-20260807.1-APPL-1</x:v>
      </x:c>
      <x:c r="H147" s="44"/>
      <x:c r="I147" s="44"/>
      <x:c r="J147" s="44"/>
      <x:c r="K147" s="44"/>
      <x:c r="L147" s="44"/>
      <x:c r="M147" s="44"/>
      <x:c r="N147" s="76"/>
      <x:c r="O147" s="45" t="str">
        <x:f>IF(OR(E147="",F147="",G147="",H147=""),"INCOMPLETE",IF(AND(H147="NOT APPLICABLE",J147&lt;&gt;""),"ERROR: RESULT SET FOR NOT APPLICABLE",IF(AND(H147="APPLICABLE",J147=""),"INCOMPLETE: RESULT REQUIRED",IF(AND(J147="APPROVED DEVIATION",L147=""),"INCOMPLETE: DEVIATION ID REQUIRED","READY"))))</x:f>
        <x:v>INCOMPLETE</x:v>
      </x:c>
    </x:row>
    <x:row r="148" ht="68" customHeight="1">
      <x:c r="A148" s="43" t="str">
        <x:v>AERA-INT-002</x:v>
      </x:c>
      <x:c r="B148" s="44" t="str">
        <x:v>INT</x:v>
      </x:c>
      <x:c r="C148" s="44" t="str">
        <x:v>The implementation SHALL detect material objective/constraint/authority/policy conflicts and resolve by declared precedence or escalate; it SHALL NOT silently optimize unresolved conflict.</x:v>
      </x:c>
      <x:c r="D148" s="44" t="str">
        <x:v>1.2 WD</x:v>
      </x:c>
      <x:c r="E148" s="44"/>
      <x:c r="F148" s="44"/>
      <x:c r="G148" s="44" t="str">
        <x:v>AERA-001-1.2WD-20260807.1-APPL-1</x:v>
      </x:c>
      <x:c r="H148" s="44"/>
      <x:c r="I148" s="44"/>
      <x:c r="J148" s="44"/>
      <x:c r="K148" s="44"/>
      <x:c r="L148" s="44"/>
      <x:c r="M148" s="44"/>
      <x:c r="N148" s="76"/>
      <x:c r="O148" s="45" t="str">
        <x:f>IF(OR(E148="",F148="",G148="",H148=""),"INCOMPLETE",IF(AND(H148="NOT APPLICABLE",J148&lt;&gt;""),"ERROR: RESULT SET FOR NOT APPLICABLE",IF(AND(H148="APPLICABLE",J148=""),"INCOMPLETE: RESULT REQUIRED",IF(AND(J148="APPROVED DEVIATION",L148=""),"INCOMPLETE: DEVIATION ID REQUIRED","READY"))))</x:f>
        <x:v>INCOMPLETE</x:v>
      </x:c>
    </x:row>
    <x:row r="149" ht="68" customHeight="1">
      <x:c r="A149" s="43" t="str">
        <x:v>AERA-LRN-001</x:v>
      </x:c>
      <x:c r="B149" s="44" t="str">
        <x:v>LRN</x:v>
      </x:c>
      <x:c r="C149" s="44" t="str">
        <x:v>Behavior-changing model, prompt, memory, retrieval, policy, tool, data, orchestration, or equivalent artifacts SHALL be versioned, impact-analyzed, evaluated, approved, observable, and reversible before production authority.</x:v>
      </x:c>
      <x:c r="D149" s="44" t="str">
        <x:v>1.2 WD</x:v>
      </x:c>
      <x:c r="E149" s="44"/>
      <x:c r="F149" s="44"/>
      <x:c r="G149" s="44" t="str">
        <x:v>AERA-001-1.2WD-20260807.1-APPL-1</x:v>
      </x:c>
      <x:c r="H149" s="44"/>
      <x:c r="I149" s="44"/>
      <x:c r="J149" s="44"/>
      <x:c r="K149" s="44"/>
      <x:c r="L149" s="44"/>
      <x:c r="M149" s="44"/>
      <x:c r="N149" s="76"/>
      <x:c r="O149" s="45" t="str">
        <x:f>IF(OR(E149="",F149="",G149="",H149=""),"INCOMPLETE",IF(AND(H149="NOT APPLICABLE",J149&lt;&gt;""),"ERROR: RESULT SET FOR NOT APPLICABLE",IF(AND(H149="APPLICABLE",J149=""),"INCOMPLETE: RESULT REQUIRED",IF(AND(J149="APPROVED DEVIATION",L149=""),"INCOMPLETE: DEVIATION ID REQUIRED","READY"))))</x:f>
        <x:v>INCOMPLETE</x:v>
      </x:c>
    </x:row>
    <x:row r="150" ht="68" customHeight="1">
      <x:c r="A150" s="43" t="str">
        <x:v>AERA-LRN-002</x:v>
      </x:c>
      <x:c r="B150" s="44" t="str">
        <x:v>LRN</x:v>
      </x:c>
      <x:c r="C150" s="44" t="str">
        <x:v>Learning/planning/adaptation SHALL NOT increase authority, consequence, targets, tools, data rights, validity, or subdelegation except through separate attributable governance and authorization.</x:v>
      </x:c>
      <x:c r="D150" s="44" t="str">
        <x:v>1.2 WD</x:v>
      </x:c>
      <x:c r="E150" s="44"/>
      <x:c r="F150" s="44"/>
      <x:c r="G150" s="44" t="str">
        <x:v>AERA-001-1.2WD-20260807.1-APPL-1</x:v>
      </x:c>
      <x:c r="H150" s="44"/>
      <x:c r="I150" s="44"/>
      <x:c r="J150" s="44"/>
      <x:c r="K150" s="44"/>
      <x:c r="L150" s="44"/>
      <x:c r="M150" s="44"/>
      <x:c r="N150" s="76"/>
      <x:c r="O150" s="45" t="str">
        <x:f>IF(OR(E150="",F150="",G150="",H150=""),"INCOMPLETE",IF(AND(H150="NOT APPLICABLE",J150&lt;&gt;""),"ERROR: RESULT SET FOR NOT APPLICABLE",IF(AND(H150="APPLICABLE",J150=""),"INCOMPLETE: RESULT REQUIRED",IF(AND(J150="APPROVED DEVIATION",L150=""),"INCOMPLETE: DEVIATION ID REQUIRED","READY"))))</x:f>
        <x:v>INCOMPLETE</x:v>
      </x:c>
    </x:row>
    <x:row r="151" ht="68" customHeight="1">
      <x:c r="A151" s="43" t="str">
        <x:v>AERA-MAT-001</x:v>
      </x:c>
      <x:c r="B151" s="44" t="str">
        <x:v>MAT</x:v>
      </x:c>
      <x:c r="C151" s="44" t="str">
        <x:v>A maturity claim SHALL identify its decision population, consequence scope, dependencies, exclusions and assessment date.</x:v>
      </x:c>
      <x:c r="D151" s="44" t="str">
        <x:v>1.2 WD</x:v>
      </x:c>
      <x:c r="E151" s="44"/>
      <x:c r="F151" s="44"/>
      <x:c r="G151" s="44" t="str">
        <x:v>AERA-001-1.2WD-20260807.1-APPL-1</x:v>
      </x:c>
      <x:c r="H151" s="44"/>
      <x:c r="I151" s="44"/>
      <x:c r="J151" s="44"/>
      <x:c r="K151" s="44"/>
      <x:c r="L151" s="44"/>
      <x:c r="M151" s="44"/>
      <x:c r="N151" s="76"/>
      <x:c r="O151" s="45" t="str">
        <x:f>IF(OR(E151="",F151="",G151="",H151=""),"INCOMPLETE",IF(AND(H151="NOT APPLICABLE",J151&lt;&gt;""),"ERROR: RESULT SET FOR NOT APPLICABLE",IF(AND(H151="APPLICABLE",J151=""),"INCOMPLETE: RESULT REQUIRED",IF(AND(J151="APPROVED DEVIATION",L151=""),"INCOMPLETE: DEVIATION ID REQUIRED","READY"))))</x:f>
        <x:v>INCOMPLETE</x:v>
      </x:c>
    </x:row>
    <x:row r="152" ht="68" customHeight="1">
      <x:c r="A152" s="43" t="str">
        <x:v>AERA-MAT-002</x:v>
      </x:c>
      <x:c r="B152" s="44" t="str">
        <x:v>MAT</x:v>
      </x:c>
      <x:c r="C152" s="44" t="str">
        <x:v>Assessors SHALL score demonstrated operating behavior rather than planned or purchased capability.</x:v>
      </x:c>
      <x:c r="D152" s="44" t="str">
        <x:v>1.2 WD</x:v>
      </x:c>
      <x:c r="E152" s="44"/>
      <x:c r="F152" s="44"/>
      <x:c r="G152" s="44" t="str">
        <x:v>AERA-001-1.2WD-20260807.1-APPL-1</x:v>
      </x:c>
      <x:c r="H152" s="44"/>
      <x:c r="I152" s="44"/>
      <x:c r="J152" s="44"/>
      <x:c r="K152" s="44"/>
      <x:c r="L152" s="44"/>
      <x:c r="M152" s="44"/>
      <x:c r="N152" s="76"/>
      <x:c r="O152" s="45" t="str">
        <x:f>IF(OR(E152="",F152="",G152="",H152=""),"INCOMPLETE",IF(AND(H152="NOT APPLICABLE",J152&lt;&gt;""),"ERROR: RESULT SET FOR NOT APPLICABLE",IF(AND(H152="APPLICABLE",J152=""),"INCOMPLETE: RESULT REQUIRED",IF(AND(J152="APPROVED DEVIATION",L152=""),"INCOMPLETE: DEVIATION ID REQUIRED","READY"))))</x:f>
        <x:v>INCOMPLETE</x:v>
      </x:c>
    </x:row>
    <x:row r="153" ht="68" customHeight="1">
      <x:c r="A153" s="43" t="str">
        <x:v>AERA-MAT-003</x:v>
      </x:c>
      <x:c r="B153" s="44" t="str">
        <x:v>MAT</x:v>
      </x:c>
      <x:c r="C153" s="44" t="str">
        <x:v>The reported level SHALL NOT exceed the lowest evidenced level among consequence-material dimensions.</x:v>
      </x:c>
      <x:c r="D153" s="44" t="str">
        <x:v>1.2 WD</x:v>
      </x:c>
      <x:c r="E153" s="44"/>
      <x:c r="F153" s="44"/>
      <x:c r="G153" s="44" t="str">
        <x:v>AERA-001-1.2WD-20260807.1-APPL-1</x:v>
      </x:c>
      <x:c r="H153" s="44"/>
      <x:c r="I153" s="44"/>
      <x:c r="J153" s="44"/>
      <x:c r="K153" s="44"/>
      <x:c r="L153" s="44"/>
      <x:c r="M153" s="44"/>
      <x:c r="N153" s="76"/>
      <x:c r="O153" s="45" t="str">
        <x:f>IF(OR(E153="",F153="",G153="",H153=""),"INCOMPLETE",IF(AND(H153="NOT APPLICABLE",J153&lt;&gt;""),"ERROR: RESULT SET FOR NOT APPLICABLE",IF(AND(H153="APPLICABLE",J153=""),"INCOMPLETE: RESULT REQUIRED",IF(AND(J153="APPROVED DEVIATION",L153=""),"INCOMPLETE: DEVIATION ID REQUIRED","READY"))))</x:f>
        <x:v>INCOMPLETE</x:v>
      </x:c>
    </x:row>
    <x:row r="154" ht="68" customHeight="1">
      <x:c r="A154" s="43" t="str">
        <x:v>AERA-MAT-004</x:v>
      </x:c>
      <x:c r="B154" s="44" t="str">
        <x:v>MAT</x:v>
      </x:c>
      <x:c r="C154" s="44" t="str">
        <x:v>Level 3 SHALL require tested-effective evidence for every consequence-material control.</x:v>
      </x:c>
      <x:c r="D154" s="44" t="str">
        <x:v>1.2 WD</x:v>
      </x:c>
      <x:c r="E154" s="44"/>
      <x:c r="F154" s="44"/>
      <x:c r="G154" s="44" t="str">
        <x:v>AERA-001-1.2WD-20260807.1-APPL-1</x:v>
      </x:c>
      <x:c r="H154" s="44"/>
      <x:c r="I154" s="44"/>
      <x:c r="J154" s="44"/>
      <x:c r="K154" s="44"/>
      <x:c r="L154" s="44"/>
      <x:c r="M154" s="44"/>
      <x:c r="N154" s="76"/>
      <x:c r="O154" s="45" t="str">
        <x:f>IF(OR(E154="",F154="",G154="",H154=""),"INCOMPLETE",IF(AND(H154="NOT APPLICABLE",J154&lt;&gt;""),"ERROR: RESULT SET FOR NOT APPLICABLE",IF(AND(H154="APPLICABLE",J154=""),"INCOMPLETE: RESULT REQUIRED",IF(AND(J154="APPROVED DEVIATION",L154=""),"INCOMPLETE: DEVIATION ID REQUIRED","READY"))))</x:f>
        <x:v>INCOMPLETE</x:v>
      </x:c>
    </x:row>
    <x:row r="155" ht="68" customHeight="1">
      <x:c r="A155" s="43" t="str">
        <x:v>AERA-MAT-005</x:v>
      </x:c>
      <x:c r="B155" s="44" t="str">
        <x:v>MAT</x:v>
      </x:c>
      <x:c r="C155" s="44" t="str">
        <x:v>Levels 4 and 5 SHALL require sustained-effective evidence for the operating behavior claimed.</x:v>
      </x:c>
      <x:c r="D155" s="44" t="str">
        <x:v>1.2 WD</x:v>
      </x:c>
      <x:c r="E155" s="44"/>
      <x:c r="F155" s="44"/>
      <x:c r="G155" s="44" t="str">
        <x:v>AERA-001-1.2WD-20260807.1-APPL-1</x:v>
      </x:c>
      <x:c r="H155" s="44"/>
      <x:c r="I155" s="44"/>
      <x:c r="J155" s="44"/>
      <x:c r="K155" s="44"/>
      <x:c r="L155" s="44"/>
      <x:c r="M155" s="44"/>
      <x:c r="N155" s="76"/>
      <x:c r="O155" s="45" t="str">
        <x:f>IF(OR(E155="",F155="",G155="",H155=""),"INCOMPLETE",IF(AND(H155="NOT APPLICABLE",J155&lt;&gt;""),"ERROR: RESULT SET FOR NOT APPLICABLE",IF(AND(H155="APPLICABLE",J155=""),"INCOMPLETE: RESULT REQUIRED",IF(AND(J155="APPROVED DEVIATION",L155=""),"INCOMPLETE: DEVIATION ID REQUIRED","READY"))))</x:f>
        <x:v>INCOMPLETE</x:v>
      </x:c>
    </x:row>
    <x:row r="156" ht="68" customHeight="1">
      <x:c r="A156" s="43" t="str">
        <x:v>AERA-MAT-006</x:v>
      </x:c>
      <x:c r="B156" s="44" t="str">
        <x:v>MAT</x:v>
      </x:c>
      <x:c r="C156" s="44" t="str">
        <x:v>Adverse results, workarounds, overrides and unresolved anomalies SHALL remain in the evidence package.</x:v>
      </x:c>
      <x:c r="D156" s="44" t="str">
        <x:v>1.2 WD</x:v>
      </x:c>
      <x:c r="E156" s="44"/>
      <x:c r="F156" s="44"/>
      <x:c r="G156" s="44" t="str">
        <x:v>AERA-001-1.2WD-20260807.1-APPL-1</x:v>
      </x:c>
      <x:c r="H156" s="44"/>
      <x:c r="I156" s="44"/>
      <x:c r="J156" s="44"/>
      <x:c r="K156" s="44"/>
      <x:c r="L156" s="44"/>
      <x:c r="M156" s="44"/>
      <x:c r="N156" s="76"/>
      <x:c r="O156" s="45" t="str">
        <x:f>IF(OR(E156="",F156="",G156="",H156=""),"INCOMPLETE",IF(AND(H156="NOT APPLICABLE",J156&lt;&gt;""),"ERROR: RESULT SET FOR NOT APPLICABLE",IF(AND(H156="APPLICABLE",J156=""),"INCOMPLETE: RESULT REQUIRED",IF(AND(J156="APPROVED DEVIATION",L156=""),"INCOMPLETE: DEVIATION ID REQUIRED","READY"))))</x:f>
        <x:v>INCOMPLETE</x:v>
      </x:c>
    </x:row>
    <x:row r="157" ht="68" customHeight="1">
      <x:c r="A157" s="43" t="str">
        <x:v>AERA-MAT-007</x:v>
      </x:c>
      <x:c r="B157" s="44" t="str">
        <x:v>MAT</x:v>
      </x:c>
      <x:c r="C157" s="44" t="str">
        <x:v>Promotion thresholds SHALL be declared before formal assessment.</x:v>
      </x:c>
      <x:c r="D157" s="44" t="str">
        <x:v>1.2 WD</x:v>
      </x:c>
      <x:c r="E157" s="44"/>
      <x:c r="F157" s="44"/>
      <x:c r="G157" s="44" t="str">
        <x:v>AERA-001-1.2WD-20260807.1-APPL-1</x:v>
      </x:c>
      <x:c r="H157" s="44"/>
      <x:c r="I157" s="44"/>
      <x:c r="J157" s="44"/>
      <x:c r="K157" s="44"/>
      <x:c r="L157" s="44"/>
      <x:c r="M157" s="44"/>
      <x:c r="N157" s="76"/>
      <x:c r="O157" s="45" t="str">
        <x:f>IF(OR(E157="",F157="",G157="",H157=""),"INCOMPLETE",IF(AND(H157="NOT APPLICABLE",J157&lt;&gt;""),"ERROR: RESULT SET FOR NOT APPLICABLE",IF(AND(H157="APPLICABLE",J157=""),"INCOMPLETE: RESULT REQUIRED",IF(AND(J157="APPROVED DEVIATION",L157=""),"INCOMPLETE: DEVIATION ID REQUIRED","READY"))))</x:f>
        <x:v>INCOMPLETE</x:v>
      </x:c>
    </x:row>
    <x:row r="158" ht="68" customHeight="1">
      <x:c r="A158" s="43" t="str">
        <x:v>AERA-MAT-008</x:v>
      </x:c>
      <x:c r="B158" s="44" t="str">
        <x:v>MAT</x:v>
      </x:c>
      <x:c r="C158" s="44" t="str">
        <x:v>Material change SHALL trigger impact analysis and reassessment of affected dimension scores.</x:v>
      </x:c>
      <x:c r="D158" s="44" t="str">
        <x:v>1.2 WD</x:v>
      </x:c>
      <x:c r="E158" s="44"/>
      <x:c r="F158" s="44"/>
      <x:c r="G158" s="44" t="str">
        <x:v>AERA-001-1.2WD-20260807.1-APPL-1</x:v>
      </x:c>
      <x:c r="H158" s="44"/>
      <x:c r="I158" s="44"/>
      <x:c r="J158" s="44"/>
      <x:c r="K158" s="44"/>
      <x:c r="L158" s="44"/>
      <x:c r="M158" s="44"/>
      <x:c r="N158" s="76"/>
      <x:c r="O158" s="45" t="str">
        <x:f>IF(OR(E158="",F158="",G158="",H158=""),"INCOMPLETE",IF(AND(H158="NOT APPLICABLE",J158&lt;&gt;""),"ERROR: RESULT SET FOR NOT APPLICABLE",IF(AND(H158="APPLICABLE",J158=""),"INCOMPLETE: RESULT REQUIRED",IF(AND(J158="APPROVED DEVIATION",L158=""),"INCOMPLETE: DEVIATION ID REQUIRED","READY"))))</x:f>
        <x:v>INCOMPLETE</x:v>
      </x:c>
    </x:row>
    <x:row r="159" ht="68" customHeight="1">
      <x:c r="A159" s="43" t="str">
        <x:v>AERA-MAT-009</x:v>
      </x:c>
      <x:c r="B159" s="44" t="str">
        <x:v>MAT</x:v>
      </x:c>
      <x:c r="C159" s="44" t="str">
        <x:v>A SUSTAINED EFFECTIVE evidence claim SHALL identify the minimum observation interval, operating exposure, event and consequence coverage, change history, adverse results, and rationale for representativeness before assessment begins.</x:v>
      </x:c>
      <x:c r="D159" s="44" t="str">
        <x:v>1.2 WD</x:v>
      </x:c>
      <x:c r="E159" s="44"/>
      <x:c r="F159" s="44"/>
      <x:c r="G159" s="44" t="str">
        <x:v>AERA-001-1.2WD-20260807.1-APPL-1</x:v>
      </x:c>
      <x:c r="H159" s="44"/>
      <x:c r="I159" s="44"/>
      <x:c r="J159" s="44"/>
      <x:c r="K159" s="44"/>
      <x:c r="L159" s="44"/>
      <x:c r="M159" s="44"/>
      <x:c r="N159" s="76"/>
      <x:c r="O159" s="45" t="str">
        <x:f>IF(OR(E159="",F159="",G159="",H159=""),"INCOMPLETE",IF(AND(H159="NOT APPLICABLE",J159&lt;&gt;""),"ERROR: RESULT SET FOR NOT APPLICABLE",IF(AND(H159="APPLICABLE",J159=""),"INCOMPLETE: RESULT REQUIRED",IF(AND(J159="APPROVED DEVIATION",L159=""),"INCOMPLETE: DEVIATION ID REQUIRED","READY"))))</x:f>
        <x:v>INCOMPLETE</x:v>
      </x:c>
    </x:row>
    <x:row r="160" ht="68" customHeight="1">
      <x:c r="A160" s="43" t="str">
        <x:v>AERA-PNT-001</x:v>
      </x:c>
      <x:c r="B160" s="44" t="str">
        <x:v>PNT</x:v>
      </x:c>
      <x:c r="C160" s="44" t="str">
        <x:v>Each decision-relevant time or position claim SHALL identify its contributing sources, distribution or derivation path, reference time scale or coordinate frame as applicable, observation time, uncertainty, integrity state, required traceability, valid interval, and degraded-state behavior.</x:v>
      </x:c>
      <x:c r="D160" s="44" t="str">
        <x:v>1.2 WD</x:v>
      </x:c>
      <x:c r="E160" s="44"/>
      <x:c r="F160" s="44"/>
      <x:c r="G160" s="44" t="str">
        <x:v>AERA-001-1.2WD-20260807.1-APPL-1</x:v>
      </x:c>
      <x:c r="H160" s="44"/>
      <x:c r="I160" s="44"/>
      <x:c r="J160" s="44"/>
      <x:c r="K160" s="44"/>
      <x:c r="L160" s="44"/>
      <x:c r="M160" s="44"/>
      <x:c r="N160" s="76"/>
      <x:c r="O160" s="45" t="str">
        <x:f>IF(OR(E160="",F160="",G160="",H160=""),"INCOMPLETE",IF(AND(H160="NOT APPLICABLE",J160&lt;&gt;""),"ERROR: RESULT SET FOR NOT APPLICABLE",IF(AND(H160="APPLICABLE",J160=""),"INCOMPLETE: RESULT REQUIRED",IF(AND(J160="APPROVED DEVIATION",L160=""),"INCOMPLETE: DEVIATION ID REQUIRED","READY"))))</x:f>
        <x:v>INCOMPLETE</x:v>
      </x:c>
    </x:row>
    <x:row r="161" ht="68" customHeight="1">
      <x:c r="A161" s="43" t="str">
        <x:v>AERA-PNT-002</x:v>
      </x:c>
      <x:c r="B161" s="44" t="str">
        <x:v>PNT</x:v>
      </x:c>
      <x:c r="C161" s="44" t="str">
        <x:v>PNT reporting and decision logic SHALL distinguish PRESENT, MONITORED, ACCEPTED, and USED IN SOLUTION for each source and SHALL NOT treat those states as interchangeable.</x:v>
      </x:c>
      <x:c r="D161" s="44" t="str">
        <x:v>1.2 WD</x:v>
      </x:c>
      <x:c r="E161" s="44"/>
      <x:c r="F161" s="44"/>
      <x:c r="G161" s="44" t="str">
        <x:v>AERA-001-1.2WD-20260807.1-APPL-1</x:v>
      </x:c>
      <x:c r="H161" s="44"/>
      <x:c r="I161" s="44"/>
      <x:c r="J161" s="44"/>
      <x:c r="K161" s="44"/>
      <x:c r="L161" s="44"/>
      <x:c r="M161" s="44"/>
      <x:c r="N161" s="76"/>
      <x:c r="O161" s="45" t="str">
        <x:f>IF(OR(E161="",F161="",G161="",H161=""),"INCOMPLETE",IF(AND(H161="NOT APPLICABLE",J161&lt;&gt;""),"ERROR: RESULT SET FOR NOT APPLICABLE",IF(AND(H161="APPLICABLE",J161=""),"INCOMPLETE: RESULT REQUIRED",IF(AND(J161="APPROVED DEVIATION",L161=""),"INCOMPLETE: DEVIATION ID REQUIRED","READY"))))</x:f>
        <x:v>INCOMPLETE</x:v>
      </x:c>
    </x:row>
    <x:row r="162" ht="68" customHeight="1">
      <x:c r="A162" s="43" t="str">
        <x:v>AERA-PNT-003</x:v>
      </x:c>
      <x:c r="B162" s="44" t="str">
        <x:v>PNT</x:v>
      </x:c>
      <x:c r="C162" s="44" t="str">
        <x:v>Each decision contract that depends on time, order, freshness, synchronization, or position SHALL define and enforce bounds for evidence age, event order, time or position uncertainty, authority and policy expiration tolerance, holdover, and behavior when any bound is exceeded.</x:v>
      </x:c>
      <x:c r="D162" s="44" t="str">
        <x:v>1.2 WD</x:v>
      </x:c>
      <x:c r="E162" s="44"/>
      <x:c r="F162" s="44"/>
      <x:c r="G162" s="44" t="str">
        <x:v>AERA-001-1.2WD-20260807.1-APPL-1</x:v>
      </x:c>
      <x:c r="H162" s="44"/>
      <x:c r="I162" s="44"/>
      <x:c r="J162" s="44"/>
      <x:c r="K162" s="44"/>
      <x:c r="L162" s="44"/>
      <x:c r="M162" s="44"/>
      <x:c r="N162" s="76"/>
      <x:c r="O162" s="45" t="str">
        <x:f>IF(OR(E162="",F162="",G162="",H162=""),"INCOMPLETE",IF(AND(H162="NOT APPLICABLE",J162&lt;&gt;""),"ERROR: RESULT SET FOR NOT APPLICABLE",IF(AND(H162="APPLICABLE",J162=""),"INCOMPLETE: RESULT REQUIRED",IF(AND(J162="APPROVED DEVIATION",L162=""),"INCOMPLETE: DEVIATION ID REQUIRED","READY"))))</x:f>
        <x:v>INCOMPLETE</x:v>
      </x:c>
    </x:row>
    <x:row r="163" ht="68" customHeight="1">
      <x:c r="A163" s="43" t="str">
        <x:v>AERA-PNT-004</x:v>
      </x:c>
      <x:c r="B163" s="44" t="str">
        <x:v>PNT</x:v>
      </x:c>
      <x:c r="C163" s="44" t="str">
        <x:v>High-consequence PNT-dependent classes SHALL analyze/test common-mode failures and define acceptable alternate, holdover, local, or no-service state.</x:v>
      </x:c>
      <x:c r="D163" s="44" t="str">
        <x:v>1.2 WD</x:v>
      </x:c>
      <x:c r="E163" s="44"/>
      <x:c r="F163" s="44"/>
      <x:c r="G163" s="44" t="str">
        <x:v>AERA-001-1.2WD-20260807.1-APPL-1</x:v>
      </x:c>
      <x:c r="H163" s="44"/>
      <x:c r="I163" s="44"/>
      <x:c r="J163" s="44"/>
      <x:c r="K163" s="44"/>
      <x:c r="L163" s="44"/>
      <x:c r="M163" s="44"/>
      <x:c r="N163" s="76"/>
      <x:c r="O163" s="45" t="str">
        <x:f>IF(OR(E163="",F163="",G163="",H163=""),"INCOMPLETE",IF(AND(H163="NOT APPLICABLE",J163&lt;&gt;""),"ERROR: RESULT SET FOR NOT APPLICABLE",IF(AND(H163="APPLICABLE",J163=""),"INCOMPLETE: RESULT REQUIRED",IF(AND(J163="APPROVED DEVIATION",L163=""),"INCOMPLETE: DEVIATION ID REQUIRED","READY"))))</x:f>
        <x:v>INCOMPLETE</x:v>
      </x:c>
    </x:row>
    <x:row r="164" ht="68" customHeight="1">
      <x:c r="A164" s="43" t="str">
        <x:v>AERA-PR-001</x:v>
      </x:c>
      <x:c r="B164" s="44" t="str">
        <x:v>PR</x:v>
      </x:c>
      <x:c r="C164" s="44" t="str">
        <x:v>For each autonomous decision class, the organization SHALL designate an accountable human or governing body that retains responsibility for mission legitimacy, delegated authority, residual-risk acceptance, suspension, and reassessment.</x:v>
      </x:c>
      <x:c r="D164" s="44" t="str">
        <x:v>1.2 WD</x:v>
      </x:c>
      <x:c r="E164" s="44"/>
      <x:c r="F164" s="44"/>
      <x:c r="G164" s="44" t="str">
        <x:v>AERA-001-1.2WD-20260807.1-APPL-1</x:v>
      </x:c>
      <x:c r="H164" s="44"/>
      <x:c r="I164" s="44"/>
      <x:c r="J164" s="44"/>
      <x:c r="K164" s="44"/>
      <x:c r="L164" s="44"/>
      <x:c r="M164" s="44"/>
      <x:c r="N164" s="76"/>
      <x:c r="O164" s="45" t="str">
        <x:f>IF(OR(E164="",F164="",G164="",H164=""),"INCOMPLETE",IF(AND(H164="NOT APPLICABLE",J164&lt;&gt;""),"ERROR: RESULT SET FOR NOT APPLICABLE",IF(AND(H164="APPLICABLE",J164=""),"INCOMPLETE: RESULT REQUIRED",IF(AND(J164="APPROVED DEVIATION",L164=""),"INCOMPLETE: DEVIATION ID REQUIRED","READY"))))</x:f>
        <x:v>INCOMPLETE</x:v>
      </x:c>
    </x:row>
    <x:row r="165" ht="68" customHeight="1">
      <x:c r="A165" s="43" t="str">
        <x:v>AERA-PR-002</x:v>
      </x:c>
      <x:c r="B165" s="44" t="str">
        <x:v>PR</x:v>
      </x:c>
      <x:c r="C165" s="44" t="str">
        <x:v>An autonomous actor SHALL exercise only decision rights contained in a current, attributable, revocable delegation whose scope includes the actor, action, target, purpose, context, consequence ceiling, and validity interval.</x:v>
      </x:c>
      <x:c r="D165" s="44" t="str">
        <x:v>1.2 WD</x:v>
      </x:c>
      <x:c r="E165" s="44"/>
      <x:c r="F165" s="44"/>
      <x:c r="G165" s="44" t="str">
        <x:v>AERA-001-1.2WD-20260807.1-APPL-1</x:v>
      </x:c>
      <x:c r="H165" s="44"/>
      <x:c r="I165" s="44"/>
      <x:c r="J165" s="44"/>
      <x:c r="K165" s="44"/>
      <x:c r="L165" s="44"/>
      <x:c r="M165" s="44"/>
      <x:c r="N165" s="76"/>
      <x:c r="O165" s="45" t="str">
        <x:f>IF(OR(E165="",F165="",G165="",H165=""),"INCOMPLETE",IF(AND(H165="NOT APPLICABLE",J165&lt;&gt;""),"ERROR: RESULT SET FOR NOT APPLICABLE",IF(AND(H165="APPLICABLE",J165=""),"INCOMPLETE: RESULT REQUIRED",IF(AND(J165="APPROVED DEVIATION",L165=""),"INCOMPLETE: DEVIATION ID REQUIRED","READY"))))</x:f>
        <x:v>INCOMPLETE</x:v>
      </x:c>
    </x:row>
    <x:row r="166" ht="68" customHeight="1">
      <x:c r="A166" s="43" t="str">
        <x:v>AERA-PR-003</x:v>
      </x:c>
      <x:c r="B166" s="44" t="str">
        <x:v>PR</x:v>
      </x:c>
      <x:c r="C166" s="44" t="str">
        <x:v>A model output SHALL NOT authorize a material effect unless the applicable authority, evidence, policy, consequence, temporal-validity, and recovery predicates are satisfied and an enforcement point accepts a current authorization artifact bound to the transaction.</x:v>
      </x:c>
      <x:c r="D166" s="44" t="str">
        <x:v>1.2 WD</x:v>
      </x:c>
      <x:c r="E166" s="44"/>
      <x:c r="F166" s="44"/>
      <x:c r="G166" s="44" t="str">
        <x:v>AERA-001-1.2WD-20260807.1-APPL-1</x:v>
      </x:c>
      <x:c r="H166" s="44"/>
      <x:c r="I166" s="44"/>
      <x:c r="J166" s="44"/>
      <x:c r="K166" s="44"/>
      <x:c r="L166" s="44"/>
      <x:c r="M166" s="44"/>
      <x:c r="N166" s="76"/>
      <x:c r="O166" s="45" t="str">
        <x:f>IF(OR(E166="",F166="",G166="",H166=""),"INCOMPLETE",IF(AND(H166="NOT APPLICABLE",J166&lt;&gt;""),"ERROR: RESULT SET FOR NOT APPLICABLE",IF(AND(H166="APPLICABLE",J166=""),"INCOMPLETE: RESULT REQUIRED",IF(AND(J166="APPROVED DEVIATION",L166=""),"INCOMPLETE: DEVIATION ID REQUIRED","READY"))))</x:f>
        <x:v>INCOMPLETE</x:v>
      </x:c>
    </x:row>
    <x:row r="167" ht="68" customHeight="1">
      <x:c r="A167" s="43" t="str">
        <x:v>AERA-PR-004</x:v>
      </x:c>
      <x:c r="B167" s="44" t="str">
        <x:v>PR</x:v>
      </x:c>
      <x:c r="C167" s="44" t="str">
        <x:v>If an optimization objective conflicts with current operational intent, law, policy, or an applicable prohibition, the implementation SHALL apply the declared precedence rules; unresolved conflict SHALL produce a non-permit disposition.</x:v>
      </x:c>
      <x:c r="D167" s="44" t="str">
        <x:v>1.2 WD</x:v>
      </x:c>
      <x:c r="E167" s="44"/>
      <x:c r="F167" s="44"/>
      <x:c r="G167" s="44" t="str">
        <x:v>AERA-001-1.2WD-20260807.1-APPL-1</x:v>
      </x:c>
      <x:c r="H167" s="44"/>
      <x:c r="I167" s="44"/>
      <x:c r="J167" s="44"/>
      <x:c r="K167" s="44"/>
      <x:c r="L167" s="44"/>
      <x:c r="M167" s="44"/>
      <x:c r="N167" s="76"/>
      <x:c r="O167" s="45" t="str">
        <x:f>IF(OR(E167="",F167="",G167="",H167=""),"INCOMPLETE",IF(AND(H167="NOT APPLICABLE",J167&lt;&gt;""),"ERROR: RESULT SET FOR NOT APPLICABLE",IF(AND(H167="APPLICABLE",J167=""),"INCOMPLETE: RESULT REQUIRED",IF(AND(J167="APPROVED DEVIATION",L167=""),"INCOMPLETE: DEVIATION ID REQUIRED","READY"))))</x:f>
        <x:v>INCOMPLETE</x:v>
      </x:c>
    </x:row>
    <x:row r="168" ht="68" customHeight="1">
      <x:c r="A168" s="43" t="str">
        <x:v>AERA-PR-005</x:v>
      </x:c>
      <x:c r="B168" s="44" t="str">
        <x:v>PR</x:v>
      </x:c>
      <x:c r="C168" s="44" t="str">
        <x:v>Each AERA layer and decision-relevant interface SHALL identify the identity, authorization, evidence-integrity, communications-security, resilience, logging, and recovery properties that it provides, requires, and verifies; allocation of a property to one layer SHALL NOT imply that another layer inherits it without validation.</x:v>
      </x:c>
      <x:c r="D168" s="44" t="str">
        <x:v>1.2 WD</x:v>
      </x:c>
      <x:c r="E168" s="44"/>
      <x:c r="F168" s="44"/>
      <x:c r="G168" s="44" t="str">
        <x:v>AERA-001-1.2WD-20260807.1-APPL-1</x:v>
      </x:c>
      <x:c r="H168" s="44"/>
      <x:c r="I168" s="44"/>
      <x:c r="J168" s="44"/>
      <x:c r="K168" s="44"/>
      <x:c r="L168" s="44"/>
      <x:c r="M168" s="44"/>
      <x:c r="N168" s="76"/>
      <x:c r="O168" s="45" t="str">
        <x:f>IF(OR(E168="",F168="",G168="",H168=""),"INCOMPLETE",IF(AND(H168="NOT APPLICABLE",J168&lt;&gt;""),"ERROR: RESULT SET FOR NOT APPLICABLE",IF(AND(H168="APPLICABLE",J168=""),"INCOMPLETE: RESULT REQUIRED",IF(AND(J168="APPROVED DEVIATION",L168=""),"INCOMPLETE: DEVIATION ID REQUIRED","READY"))))</x:f>
        <x:v>INCOMPLETE</x:v>
      </x:c>
    </x:row>
    <x:row r="169" ht="68" customHeight="1">
      <x:c r="A169" s="43" t="str">
        <x:v>AERA-PR-006</x:v>
      </x:c>
      <x:c r="B169" s="44" t="str">
        <x:v>PR</x:v>
      </x:c>
      <x:c r="C169" s="44" t="str">
        <x:v>The DAF SHALL re-evaluate affected assurance claims before further effect whenever a policy-defined material change occurs in evidence, context, threat state, actor or system state, temporal state, or recovery readiness.</x:v>
      </x:c>
      <x:c r="D169" s="44" t="str">
        <x:v>1.2 WD</x:v>
      </x:c>
      <x:c r="E169" s="44"/>
      <x:c r="F169" s="44"/>
      <x:c r="G169" s="44" t="str">
        <x:v>AERA-001-1.2WD-20260807.1-APPL-1</x:v>
      </x:c>
      <x:c r="H169" s="44"/>
      <x:c r="I169" s="44"/>
      <x:c r="J169" s="44"/>
      <x:c r="K169" s="44"/>
      <x:c r="L169" s="44"/>
      <x:c r="M169" s="44"/>
      <x:c r="N169" s="76"/>
      <x:c r="O169" s="45" t="str">
        <x:f>IF(OR(E169="",F169="",G169="",H169=""),"INCOMPLETE",IF(AND(H169="NOT APPLICABLE",J169&lt;&gt;""),"ERROR: RESULT SET FOR NOT APPLICABLE",IF(AND(H169="APPLICABLE",J169=""),"INCOMPLETE: RESULT REQUIRED",IF(AND(J169="APPROVED DEVIATION",L169=""),"INCOMPLETE: DEVIATION ID REQUIRED","READY"))))</x:f>
        <x:v>INCOMPLETE</x:v>
      </x:c>
    </x:row>
    <x:row r="170" ht="68" customHeight="1">
      <x:c r="A170" s="43" t="str">
        <x:v>AERA-PR-007</x:v>
      </x:c>
      <x:c r="B170" s="44" t="str">
        <x:v>PR</x:v>
      </x:c>
      <x:c r="C170" s="44" t="str">
        <x:v>Before authorizing a proposal that can exceed a validated recovery envelope, the accountable authority SHALL either prohibit the proposal or approve a consequence-specific control set that includes narrower enforceable bounds, additional independent prevention or inhibition, effect observation, and explicit residual-risk acceptance.</x:v>
      </x:c>
      <x:c r="D170" s="44" t="str">
        <x:v>1.2 WD</x:v>
      </x:c>
      <x:c r="E170" s="44"/>
      <x:c r="F170" s="44"/>
      <x:c r="G170" s="44" t="str">
        <x:v>AERA-001-1.2WD-20260807.1-APPL-1</x:v>
      </x:c>
      <x:c r="H170" s="44"/>
      <x:c r="I170" s="44"/>
      <x:c r="J170" s="44"/>
      <x:c r="K170" s="44"/>
      <x:c r="L170" s="44"/>
      <x:c r="M170" s="44"/>
      <x:c r="N170" s="76"/>
      <x:c r="O170" s="45" t="str">
        <x:f>IF(OR(E170="",F170="",G170="",H170=""),"INCOMPLETE",IF(AND(H170="NOT APPLICABLE",J170&lt;&gt;""),"ERROR: RESULT SET FOR NOT APPLICABLE",IF(AND(H170="APPLICABLE",J170=""),"INCOMPLETE: RESULT REQUIRED",IF(AND(J170="APPROVED DEVIATION",L170=""),"INCOMPLETE: DEVIATION ID REQUIRED","READY"))))</x:f>
        <x:v>INCOMPLETE</x:v>
      </x:c>
    </x:row>
    <x:row r="171" ht="68" customHeight="1">
      <x:c r="A171" s="43" t="str">
        <x:v>AERA-PR-008</x:v>
      </x:c>
      <x:c r="B171" s="44" t="str">
        <x:v>PR</x:v>
      </x:c>
      <x:c r="C171" s="44" t="str">
        <x:v>Before a behavior-changing model, prompt, memory, retrieval source, policy, data set, tool, dependency, threshold, or orchestration artifact is used under production authority, the organization SHALL version and provenance-bind the artifact, analyze its impact, test and approve it, make its use observable, and provide a tested rollback or safe-replacement path.</x:v>
      </x:c>
      <x:c r="D171" s="44" t="str">
        <x:v>1.2 WD</x:v>
      </x:c>
      <x:c r="E171" s="44"/>
      <x:c r="F171" s="44"/>
      <x:c r="G171" s="44" t="str">
        <x:v>AERA-001-1.2WD-20260807.1-APPL-1</x:v>
      </x:c>
      <x:c r="H171" s="44"/>
      <x:c r="I171" s="44"/>
      <x:c r="J171" s="44"/>
      <x:c r="K171" s="44"/>
      <x:c r="L171" s="44"/>
      <x:c r="M171" s="44"/>
      <x:c r="N171" s="76"/>
      <x:c r="O171" s="45" t="str">
        <x:f>IF(OR(E171="",F171="",G171="",H171=""),"INCOMPLETE",IF(AND(H171="NOT APPLICABLE",J171&lt;&gt;""),"ERROR: RESULT SET FOR NOT APPLICABLE",IF(AND(H171="APPLICABLE",J171=""),"INCOMPLETE: RESULT REQUIRED",IF(AND(J171="APPROVED DEVIATION",L171=""),"INCOMPLETE: DEVIATION ID REQUIRED","READY"))))</x:f>
        <x:v>INCOMPLETE</x:v>
      </x:c>
    </x:row>
    <x:row r="172" ht="68" customHeight="1">
      <x:c r="A172" s="43" t="str">
        <x:v>AERA-PR-009</x:v>
      </x:c>
      <x:c r="B172" s="44" t="str">
        <x:v>PR</x:v>
      </x:c>
      <x:c r="C172" s="44" t="str">
        <x:v>Each decision contract SHALL specify and enforce maximum evidence age, event-order and synchronization tolerances, time or position uncertainty bounds as applicable, and the disposition to use when a temporal bound is exceeded.</x:v>
      </x:c>
      <x:c r="D172" s="44" t="str">
        <x:v>1.2 WD</x:v>
      </x:c>
      <x:c r="E172" s="44"/>
      <x:c r="F172" s="44"/>
      <x:c r="G172" s="44" t="str">
        <x:v>AERA-001-1.2WD-20260807.1-APPL-1</x:v>
      </x:c>
      <x:c r="H172" s="44"/>
      <x:c r="I172" s="44"/>
      <x:c r="J172" s="44"/>
      <x:c r="K172" s="44"/>
      <x:c r="L172" s="44"/>
      <x:c r="M172" s="44"/>
      <x:c r="N172" s="76"/>
      <x:c r="O172" s="45" t="str">
        <x:f>IF(OR(E172="",F172="",G172="",H172=""),"INCOMPLETE",IF(AND(H172="NOT APPLICABLE",J172&lt;&gt;""),"ERROR: RESULT SET FOR NOT APPLICABLE",IF(AND(H172="APPLICABLE",J172=""),"INCOMPLETE: RESULT REQUIRED",IF(AND(J172="APPROVED DEVIATION",L172=""),"INCOMPLETE: DEVIATION ID REQUIRED","READY"))))</x:f>
        <x:v>INCOMPLETE</x:v>
      </x:c>
    </x:row>
    <x:row r="173" ht="68" customHeight="1">
      <x:c r="A173" s="43" t="str">
        <x:v>AERA-PR-010</x:v>
      </x:c>
      <x:c r="B173" s="44" t="str">
        <x:v>PR</x:v>
      </x:c>
      <x:c r="C173" s="44" t="str">
        <x:v>The minimum control floor for a decision class SHALL be selected from its worst credible consequence and SHALL NOT be reduced on the basis of model type, implementation brand, vendor assertion, or claimed technical sophistication.</x:v>
      </x:c>
      <x:c r="D173" s="44" t="str">
        <x:v>1.2 WD</x:v>
      </x:c>
      <x:c r="E173" s="44"/>
      <x:c r="F173" s="44"/>
      <x:c r="G173" s="44" t="str">
        <x:v>AERA-001-1.2WD-20260807.1-APPL-1</x:v>
      </x:c>
      <x:c r="H173" s="44"/>
      <x:c r="I173" s="44"/>
      <x:c r="J173" s="44"/>
      <x:c r="K173" s="44"/>
      <x:c r="L173" s="44"/>
      <x:c r="M173" s="44"/>
      <x:c r="N173" s="76"/>
      <x:c r="O173" s="45" t="str">
        <x:f>IF(OR(E173="",F173="",G173="",H173=""),"INCOMPLETE",IF(AND(H173="NOT APPLICABLE",J173&lt;&gt;""),"ERROR: RESULT SET FOR NOT APPLICABLE",IF(AND(H173="APPLICABLE",J173=""),"INCOMPLETE: RESULT REQUIRED",IF(AND(J173="APPROVED DEVIATION",L173=""),"INCOMPLETE: DEVIATION ID REQUIRED","READY"))))</x:f>
        <x:v>INCOMPLETE</x:v>
      </x:c>
    </x:row>
    <x:row r="174" ht="68" customHeight="1">
      <x:c r="A174" s="43" t="str">
        <x:v>AERA-PR-011</x:v>
      </x:c>
      <x:c r="B174" s="44" t="str">
        <x:v>PR</x:v>
      </x:c>
      <x:c r="C174" s="44" t="str">
        <x:v>For each CC-3 or CC-4 decision class, evidence or controls relied upon as independent SHALL have documented source, method, controller, administration, provider, software, network, power, supply-chain, and time-reference failure domains; correlated items SHALL NOT be counted as independent without an approved rationale and compensating controls.</x:v>
      </x:c>
      <x:c r="D174" s="44" t="str">
        <x:v>1.2 WD</x:v>
      </x:c>
      <x:c r="E174" s="44"/>
      <x:c r="F174" s="44"/>
      <x:c r="G174" s="44" t="str">
        <x:v>AERA-001-1.2WD-20260807.1-APPL-1</x:v>
      </x:c>
      <x:c r="H174" s="44"/>
      <x:c r="I174" s="44"/>
      <x:c r="J174" s="44"/>
      <x:c r="K174" s="44"/>
      <x:c r="L174" s="44"/>
      <x:c r="M174" s="44"/>
      <x:c r="N174" s="76"/>
      <x:c r="O174" s="45" t="str">
        <x:f>IF(OR(E174="",F174="",G174="",H174=""),"INCOMPLETE",IF(AND(H174="NOT APPLICABLE",J174&lt;&gt;""),"ERROR: RESULT SET FOR NOT APPLICABLE",IF(AND(H174="APPLICABLE",J174=""),"INCOMPLETE: RESULT REQUIRED",IF(AND(J174="APPROVED DEVIATION",L174=""),"INCOMPLETE: DEVIATION ID REQUIRED","READY"))))</x:f>
        <x:v>INCOMPLETE</x:v>
      </x:c>
    </x:row>
    <x:row r="175" ht="68" customHeight="1">
      <x:c r="A175" s="43" t="str">
        <x:v>AERA-PR-012</x:v>
      </x:c>
      <x:c r="B175" s="44" t="str">
        <x:v>PR</x:v>
      </x:c>
      <x:c r="C175" s="44" t="str">
        <x:v>For every material decision transaction, the implementation SHALL retain a tamper-evident causal record that identifies who or what proposed, authorized, enforced, observed, overrode, or recovered the action; the evidence and policy used; the authorization and validity; and the observed result.</x:v>
      </x:c>
      <x:c r="D175" s="44" t="str">
        <x:v>1.2 WD</x:v>
      </x:c>
      <x:c r="E175" s="44"/>
      <x:c r="F175" s="44"/>
      <x:c r="G175" s="44" t="str">
        <x:v>AERA-001-1.2WD-20260807.1-APPL-1</x:v>
      </x:c>
      <x:c r="H175" s="44"/>
      <x:c r="I175" s="44"/>
      <x:c r="J175" s="44"/>
      <x:c r="K175" s="44"/>
      <x:c r="L175" s="44"/>
      <x:c r="M175" s="44"/>
      <x:c r="N175" s="76"/>
      <x:c r="O175" s="45" t="str">
        <x:f>IF(OR(E175="",F175="",G175="",H175=""),"INCOMPLETE",IF(AND(H175="NOT APPLICABLE",J175&lt;&gt;""),"ERROR: RESULT SET FOR NOT APPLICABLE",IF(AND(H175="APPLICABLE",J175=""),"INCOMPLETE: RESULT REQUIRED",IF(AND(J175="APPROVED DEVIATION",L175=""),"INCOMPLETE: DEVIATION ID REQUIRED","READY"))))</x:f>
        <x:v>INCOMPLETE</x:v>
      </x:c>
    </x:row>
    <x:row r="176" ht="68" customHeight="1">
      <x:c r="A176" s="43" t="str">
        <x:v>AERA-Q-001</x:v>
      </x:c>
      <x:c r="B176" s="44" t="str">
        <x:v>Q</x:v>
      </x:c>
      <x:c r="C176" s="44" t="str">
        <x:v>A quantum-enabled decision service SHALL identify capability class, role/boundary, readiness, classical baseline, measured mission advantage, error/uncertainty, security assumptions, cost/dependencies, and exit criteria.</x:v>
      </x:c>
      <x:c r="D176" s="44" t="str">
        <x:v>1.2 WD</x:v>
      </x:c>
      <x:c r="E176" s="44"/>
      <x:c r="F176" s="44"/>
      <x:c r="G176" s="44" t="str">
        <x:v>AERA-001-1.2WD-20260807.1-APPL-1</x:v>
      </x:c>
      <x:c r="H176" s="44"/>
      <x:c r="I176" s="44"/>
      <x:c r="J176" s="44"/>
      <x:c r="K176" s="44"/>
      <x:c r="L176" s="44"/>
      <x:c r="M176" s="44"/>
      <x:c r="N176" s="76"/>
      <x:c r="O176" s="45" t="str">
        <x:f>IF(OR(E176="",F176="",G176="",H176=""),"INCOMPLETE",IF(AND(H176="NOT APPLICABLE",J176&lt;&gt;""),"ERROR: RESULT SET FOR NOT APPLICABLE",IF(AND(H176="APPLICABLE",J176=""),"INCOMPLETE: RESULT REQUIRED",IF(AND(J176="APPROVED DEVIATION",L176=""),"INCOMPLETE: DEVIATION ID REQUIRED","READY"))))</x:f>
        <x:v>INCOMPLETE</x:v>
      </x:c>
    </x:row>
    <x:row r="177" ht="68" customHeight="1">
      <x:c r="A177" s="43" t="str">
        <x:v>AERA-Q-002</x:v>
      </x:c>
      <x:c r="B177" s="44" t="str">
        <x:v>Q</x:v>
      </x:c>
      <x:c r="C177" s="44" t="str">
        <x:v>A quantum-enabled service SHALL retain authenticated classical control, monitoring, and audit and provide validated classical fallback or explicit no-service state before material-effect use.</x:v>
      </x:c>
      <x:c r="D177" s="44" t="str">
        <x:v>1.2 WD</x:v>
      </x:c>
      <x:c r="E177" s="44"/>
      <x:c r="F177" s="44"/>
      <x:c r="G177" s="44" t="str">
        <x:v>AERA-001-1.2WD-20260807.1-APPL-1</x:v>
      </x:c>
      <x:c r="H177" s="44"/>
      <x:c r="I177" s="44"/>
      <x:c r="J177" s="44"/>
      <x:c r="K177" s="44"/>
      <x:c r="L177" s="44"/>
      <x:c r="M177" s="44"/>
      <x:c r="N177" s="76"/>
      <x:c r="O177" s="45" t="str">
        <x:f>IF(OR(E177="",F177="",G177="",H177=""),"INCOMPLETE",IF(AND(H177="NOT APPLICABLE",J177&lt;&gt;""),"ERROR: RESULT SET FOR NOT APPLICABLE",IF(AND(H177="APPLICABLE",J177=""),"INCOMPLETE: RESULT REQUIRED",IF(AND(J177="APPROVED DEVIATION",L177=""),"INCOMPLETE: DEVIATION ID REQUIRED","READY"))))</x:f>
        <x:v>INCOMPLETE</x:v>
      </x:c>
    </x:row>
    <x:row r="178" ht="68" customHeight="1">
      <x:c r="A178" s="43" t="str">
        <x:v>AERA-REC-001</x:v>
      </x:c>
      <x:c r="B178" s="44" t="str">
        <x:v>REC</x:v>
      </x:c>
      <x:c r="C178" s="44" t="str">
        <x:v>Each material class SHALL define states, resources, authority, time bounds, irreversibility, and actions for arrest, containment, reversal, compensation, or manual transfer.</x:v>
      </x:c>
      <x:c r="D178" s="44" t="str">
        <x:v>1.2 WD</x:v>
      </x:c>
      <x:c r="E178" s="44"/>
      <x:c r="F178" s="44"/>
      <x:c r="G178" s="44" t="str">
        <x:v>AERA-001-1.2WD-20260807.1-APPL-1</x:v>
      </x:c>
      <x:c r="H178" s="44"/>
      <x:c r="I178" s="44"/>
      <x:c r="J178" s="44"/>
      <x:c r="K178" s="44"/>
      <x:c r="L178" s="44"/>
      <x:c r="M178" s="44"/>
      <x:c r="N178" s="76"/>
      <x:c r="O178" s="45" t="str">
        <x:f>IF(OR(E178="",F178="",G178="",H178=""),"INCOMPLETE",IF(AND(H178="NOT APPLICABLE",J178&lt;&gt;""),"ERROR: RESULT SET FOR NOT APPLICABLE",IF(AND(H178="APPLICABLE",J178=""),"INCOMPLETE: RESULT REQUIRED",IF(AND(J178="APPROVED DEVIATION",L178=""),"INCOMPLETE: DEVIATION ID REQUIRED","READY"))))</x:f>
        <x:v>INCOMPLETE</x:v>
      </x:c>
    </x:row>
    <x:row r="179" ht="68" customHeight="1">
      <x:c r="A179" s="43" t="str">
        <x:v>AERA-REC-002</x:v>
      </x:c>
      <x:c r="B179" s="44" t="str">
        <x:v>REC</x:v>
      </x:c>
      <x:c r="C179" s="44" t="str">
        <x:v>Recovery, revocation, manual takeover, and state reconciliation SHALL be tested before production and after material change under credible fault/adversary conditions.</x:v>
      </x:c>
      <x:c r="D179" s="44" t="str">
        <x:v>1.2 WD</x:v>
      </x:c>
      <x:c r="E179" s="44"/>
      <x:c r="F179" s="44"/>
      <x:c r="G179" s="44" t="str">
        <x:v>AERA-001-1.2WD-20260807.1-APPL-1</x:v>
      </x:c>
      <x:c r="H179" s="44"/>
      <x:c r="I179" s="44"/>
      <x:c r="J179" s="44"/>
      <x:c r="K179" s="44"/>
      <x:c r="L179" s="44"/>
      <x:c r="M179" s="44"/>
      <x:c r="N179" s="76"/>
      <x:c r="O179" s="45" t="str">
        <x:f>IF(OR(E179="",F179="",G179="",H179=""),"INCOMPLETE",IF(AND(H179="NOT APPLICABLE",J179&lt;&gt;""),"ERROR: RESULT SET FOR NOT APPLICABLE",IF(AND(H179="APPLICABLE",J179=""),"INCOMPLETE: RESULT REQUIRED",IF(AND(J179="APPROVED DEVIATION",L179=""),"INCOMPLETE: DEVIATION ID REQUIRED","READY"))))</x:f>
        <x:v>INCOMPLETE</x:v>
      </x:c>
    </x:row>
    <x:row r="180" ht="68" customHeight="1">
      <x:c r="A180" s="43" t="str">
        <x:v>AERA-REC-003</x:v>
      </x:c>
      <x:c r="B180" s="44" t="str">
        <x:v>REC</x:v>
      </x:c>
      <x:c r="C180" s="44" t="str">
        <x:v>Command issue/acknowledgment SHALL NOT prove effect; obtain consequence-appropriate effect evidence or mark unverified and inhibit dependent autonomous actions.</x:v>
      </x:c>
      <x:c r="D180" s="44" t="str">
        <x:v>1.2 WD</x:v>
      </x:c>
      <x:c r="E180" s="44"/>
      <x:c r="F180" s="44"/>
      <x:c r="G180" s="44" t="str">
        <x:v>AERA-001-1.2WD-20260807.1-APPL-1</x:v>
      </x:c>
      <x:c r="H180" s="44"/>
      <x:c r="I180" s="44"/>
      <x:c r="J180" s="44"/>
      <x:c r="K180" s="44"/>
      <x:c r="L180" s="44"/>
      <x:c r="M180" s="44"/>
      <x:c r="N180" s="76"/>
      <x:c r="O180" s="45" t="str">
        <x:f>IF(OR(E180="",F180="",G180="",H180=""),"INCOMPLETE",IF(AND(H180="NOT APPLICABLE",J180&lt;&gt;""),"ERROR: RESULT SET FOR NOT APPLICABLE",IF(AND(H180="APPLICABLE",J180=""),"INCOMPLETE: RESULT REQUIRED",IF(AND(J180="APPROVED DEVIATION",L180=""),"INCOMPLETE: DEVIATION ID REQUIRED","READY"))))</x:f>
        <x:v>INCOMPLETE</x:v>
      </x:c>
    </x:row>
    <x:row r="181" ht="68" customHeight="1">
      <x:c r="A181" s="43" t="str">
        <x:v>AERA-THEORY-001</x:v>
      </x:c>
      <x:c r="B181" s="44" t="str">
        <x:v>THEORY</x:v>
      </x:c>
      <x:c r="C181" s="44" t="str">
        <x:v>Every autonomous action SHALL resolve to a valid authority delegation.</x:v>
      </x:c>
      <x:c r="D181" s="44" t="str">
        <x:v>1.2 WD</x:v>
      </x:c>
      <x:c r="E181" s="44"/>
      <x:c r="F181" s="44"/>
      <x:c r="G181" s="44" t="str">
        <x:v>AERA-001-1.2WD-20260807.1-APPL-1</x:v>
      </x:c>
      <x:c r="H181" s="44"/>
      <x:c r="I181" s="44"/>
      <x:c r="J181" s="44"/>
      <x:c r="K181" s="44"/>
      <x:c r="L181" s="44"/>
      <x:c r="M181" s="44"/>
      <x:c r="N181" s="76"/>
      <x:c r="O181" s="45" t="str">
        <x:f>IF(OR(E181="",F181="",G181="",H181=""),"INCOMPLETE",IF(AND(H181="NOT APPLICABLE",J181&lt;&gt;""),"ERROR: RESULT SET FOR NOT APPLICABLE",IF(AND(H181="APPLICABLE",J181=""),"INCOMPLETE: RESULT REQUIRED",IF(AND(J181="APPROVED DEVIATION",L181=""),"INCOMPLETE: DEVIATION ID REQUIRED","READY"))))</x:f>
        <x:v>INCOMPLETE</x:v>
      </x:c>
    </x:row>
    <x:row r="182" ht="68" customHeight="1">
      <x:c r="A182" s="43" t="str">
        <x:v>AERA-THEORY-002</x:v>
      </x:c>
      <x:c r="B182" s="44" t="str">
        <x:v>THEORY</x:v>
      </x:c>
      <x:c r="C182" s="44" t="str">
        <x:v>Decision evaluation SHALL consider material cumulative effects when actions compose.</x:v>
      </x:c>
      <x:c r="D182" s="44" t="str">
        <x:v>1.2 WD</x:v>
      </x:c>
      <x:c r="E182" s="44"/>
      <x:c r="F182" s="44"/>
      <x:c r="G182" s="44" t="str">
        <x:v>AERA-001-1.2WD-20260807.1-APPL-1</x:v>
      </x:c>
      <x:c r="H182" s="44"/>
      <x:c r="I182" s="44"/>
      <x:c r="J182" s="44"/>
      <x:c r="K182" s="44"/>
      <x:c r="L182" s="44"/>
      <x:c r="M182" s="44"/>
      <x:c r="N182" s="76"/>
      <x:c r="O182" s="45" t="str">
        <x:f>IF(OR(E182="",F182="",G182="",H182=""),"INCOMPLETE",IF(AND(H182="NOT APPLICABLE",J182&lt;&gt;""),"ERROR: RESULT SET FOR NOT APPLICABLE",IF(AND(H182="APPLICABLE",J182=""),"INCOMPLETE: RESULT REQUIRED",IF(AND(J182="APPROVED DEVIATION",L182=""),"INCOMPLETE: DEVIATION ID REQUIRED","READY"))))</x:f>
        <x:v>INCOMPLETE</x:v>
      </x:c>
    </x:row>
    <x:row r="183" ht="68" customHeight="1">
      <x:c r="A183" s="43" t="str">
        <x:v>AERA-THEORY-003</x:v>
      </x:c>
      <x:c r="B183" s="44" t="str">
        <x:v>THEORY</x:v>
      </x:c>
      <x:c r="C183" s="44" t="str">
        <x:v>Each decision class SHALL have an accountable human owner.</x:v>
      </x:c>
      <x:c r="D183" s="44" t="str">
        <x:v>1.2 WD</x:v>
      </x:c>
      <x:c r="E183" s="44"/>
      <x:c r="F183" s="44"/>
      <x:c r="G183" s="44" t="str">
        <x:v>AERA-001-1.2WD-20260807.1-APPL-1</x:v>
      </x:c>
      <x:c r="H183" s="44"/>
      <x:c r="I183" s="44"/>
      <x:c r="J183" s="44"/>
      <x:c r="K183" s="44"/>
      <x:c r="L183" s="44"/>
      <x:c r="M183" s="44"/>
      <x:c r="N183" s="76"/>
      <x:c r="O183" s="45" t="str">
        <x:f>IF(OR(E183="",F183="",G183="",H183=""),"INCOMPLETE",IF(AND(H183="NOT APPLICABLE",J183&lt;&gt;""),"ERROR: RESULT SET FOR NOT APPLICABLE",IF(AND(H183="APPLICABLE",J183=""),"INCOMPLETE: RESULT REQUIRED",IF(AND(J183="APPROVED DEVIATION",L183=""),"INCOMPLETE: DEVIATION ID REQUIRED","READY"))))</x:f>
        <x:v>INCOMPLETE</x:v>
      </x:c>
    </x:row>
    <x:row r="184" ht="68" customHeight="1">
      <x:c r="A184" s="43" t="str">
        <x:v>AERA-THR-001</x:v>
      </x:c>
      <x:c r="B184" s="44" t="str">
        <x:v>THR</x:v>
      </x:c>
      <x:c r="C184" s="44" t="str">
        <x:v>When an authenticated evidence source can remain credential-valid after compromise, the implementation SHALL apply consequence-appropriate challenge, corroboration, or plausibility analysis before relying on that source for a material effect.</x:v>
      </x:c>
      <x:c r="D184" s="44" t="str">
        <x:v>1.2 WD</x:v>
      </x:c>
      <x:c r="E184" s="44"/>
      <x:c r="F184" s="44"/>
      <x:c r="G184" s="44" t="str">
        <x:v>AERA-001-1.2WD-20260807.1-APPL-1</x:v>
      </x:c>
      <x:c r="H184" s="44"/>
      <x:c r="I184" s="44"/>
      <x:c r="J184" s="44"/>
      <x:c r="K184" s="44"/>
      <x:c r="L184" s="44"/>
      <x:c r="M184" s="44"/>
      <x:c r="N184" s="76"/>
      <x:c r="O184" s="45" t="str">
        <x:f>IF(OR(E184="",F184="",G184="",H184=""),"INCOMPLETE",IF(AND(H184="NOT APPLICABLE",J184&lt;&gt;""),"ERROR: RESULT SET FOR NOT APPLICABLE",IF(AND(H184="APPLICABLE",J184=""),"INCOMPLETE: RESULT REQUIRED",IF(AND(J184="APPROVED DEVIATION",L184=""),"INCOMPLETE: DEVIATION ID REQUIRED","READY"))))</x:f>
        <x:v>INCOMPLETE</x:v>
      </x:c>
    </x:row>
    <x:row r="185" ht="68" customHeight="1">
      <x:c r="A185" s="43" t="str">
        <x:v>AERA-THR-002</x:v>
      </x:c>
      <x:c r="B185" s="44" t="str">
        <x:v>THR</x:v>
      </x:c>
      <x:c r="C185" s="44" t="str">
        <x:v>Each cross-domain or delegated service hop SHALL preserve and validate the original initiator, delegation chain, purpose, consequence context, and requested effect before exercising target-domain authority.</x:v>
      </x:c>
      <x:c r="D185" s="44" t="str">
        <x:v>1.2 WD</x:v>
      </x:c>
      <x:c r="E185" s="44"/>
      <x:c r="F185" s="44"/>
      <x:c r="G185" s="44" t="str">
        <x:v>AERA-001-1.2WD-20260807.1-APPL-1</x:v>
      </x:c>
      <x:c r="H185" s="44"/>
      <x:c r="I185" s="44"/>
      <x:c r="J185" s="44"/>
      <x:c r="K185" s="44"/>
      <x:c r="L185" s="44"/>
      <x:c r="M185" s="44"/>
      <x:c r="N185" s="76"/>
      <x:c r="O185" s="45" t="str">
        <x:f>IF(OR(E185="",F185="",G185="",H185=""),"INCOMPLETE",IF(AND(H185="NOT APPLICABLE",J185&lt;&gt;""),"ERROR: RESULT SET FOR NOT APPLICABLE",IF(AND(H185="APPLICABLE",J185=""),"INCOMPLETE: RESULT REQUIRED",IF(AND(J185="APPROVED DEVIATION",L185=""),"INCOMPLETE: DEVIATION ID REQUIRED","READY"))))</x:f>
        <x:v>INCOMPLETE</x:v>
      </x:c>
    </x:row>
    <x:row r="186" ht="68" customHeight="1">
      <x:c r="A186" s="43" t="str">
        <x:v>AERA-THR-003</x:v>
      </x:c>
      <x:c r="B186" s="44" t="str">
        <x:v>THR</x:v>
      </x:c>
      <x:c r="C186" s="44" t="str">
        <x:v>The Decision Assurance Fabric SHALL define capacity objectives and saturation thresholds, detect bypass and denial-of-assurance conditions, and invoke consequence-specific throttling or non-permit behavior before overload can become implicit authorization.</x:v>
      </x:c>
      <x:c r="D186" s="44" t="str">
        <x:v>1.2 WD</x:v>
      </x:c>
      <x:c r="E186" s="44"/>
      <x:c r="F186" s="44"/>
      <x:c r="G186" s="44" t="str">
        <x:v>AERA-001-1.2WD-20260807.1-APPL-1</x:v>
      </x:c>
      <x:c r="H186" s="44"/>
      <x:c r="I186" s="44"/>
      <x:c r="J186" s="44"/>
      <x:c r="K186" s="44"/>
      <x:c r="L186" s="44"/>
      <x:c r="M186" s="44"/>
      <x:c r="N186" s="76"/>
      <x:c r="O186" s="45" t="str">
        <x:f>IF(OR(E186="",F186="",G186="",H186=""),"INCOMPLETE",IF(AND(H186="NOT APPLICABLE",J186&lt;&gt;""),"ERROR: RESULT SET FOR NOT APPLICABLE",IF(AND(H186="APPLICABLE",J186=""),"INCOMPLETE: RESULT REQUIRED",IF(AND(J186="APPROVED DEVIATION",L186=""),"INCOMPLETE: DEVIATION ID REQUIRED","READY"))))</x:f>
        <x:v>INCOMPLETE</x:v>
      </x:c>
    </x:row>
    <x:row r="187" ht="68" customHeight="1">
      <x:c r="A187" s="43" t="str">
        <x:v>AERA-THR-004</x:v>
      </x:c>
      <x:c r="B187" s="44" t="str">
        <x:v>THR</x:v>
      </x:c>
      <x:c r="C187" s="44" t="str">
        <x:v>Distributed enforcement points SHALL use monotonic policy and state updates, acknowledgement, deduplication, idempotent effect semantics, and distributed use accounting where duplicate or reordered execution could create a material effect.</x:v>
      </x:c>
      <x:c r="D187" s="44" t="str">
        <x:v>1.2 WD</x:v>
      </x:c>
      <x:c r="E187" s="44"/>
      <x:c r="F187" s="44"/>
      <x:c r="G187" s="44" t="str">
        <x:v>AERA-001-1.2WD-20260807.1-APPL-1</x:v>
      </x:c>
      <x:c r="H187" s="44"/>
      <x:c r="I187" s="44"/>
      <x:c r="J187" s="44"/>
      <x:c r="K187" s="44"/>
      <x:c r="L187" s="44"/>
      <x:c r="M187" s="44"/>
      <x:c r="N187" s="76"/>
      <x:c r="O187" s="45" t="str">
        <x:f>IF(OR(E187="",F187="",G187="",H187=""),"INCOMPLETE",IF(AND(H187="NOT APPLICABLE",J187&lt;&gt;""),"ERROR: RESULT SET FOR NOT APPLICABLE",IF(AND(H187="APPLICABLE",J187=""),"INCOMPLETE: RESULT REQUIRED",IF(AND(J187="APPROVED DEVIATION",L187=""),"INCOMPLETE: DEVIATION ID REQUIRED","READY"))))</x:f>
        <x:v>INCOMPLETE</x:v>
      </x:c>
    </x:row>
    <x:row r="188" ht="68" customHeight="1">
      <x:c r="A188" s="43" t="str">
        <x:v>AERA-THR-005</x:v>
      </x:c>
      <x:c r="B188" s="44" t="str">
        <x:v>THR</x:v>
      </x:c>
      <x:c r="C188" s="44" t="str">
        <x:v>Audit evidence for high-consequence decision classes SHALL use independent replication or an equivalent survivability mechanism and SHALL detect omission, deletion, reordering, retiming, or incomplete causal chains.</x:v>
      </x:c>
      <x:c r="D188" s="44" t="str">
        <x:v>1.2 WD</x:v>
      </x:c>
      <x:c r="E188" s="44"/>
      <x:c r="F188" s="44"/>
      <x:c r="G188" s="44" t="str">
        <x:v>AERA-001-1.2WD-20260807.1-APPL-1</x:v>
      </x:c>
      <x:c r="H188" s="44"/>
      <x:c r="I188" s="44"/>
      <x:c r="J188" s="44"/>
      <x:c r="K188" s="44"/>
      <x:c r="L188" s="44"/>
      <x:c r="M188" s="44"/>
      <x:c r="N188" s="76"/>
      <x:c r="O188" s="45" t="str">
        <x:f>IF(OR(E188="",F188="",G188="",H188=""),"INCOMPLETE",IF(AND(H188="NOT APPLICABLE",J188&lt;&gt;""),"ERROR: RESULT SET FOR NOT APPLICABLE",IF(AND(H188="APPLICABLE",J188=""),"INCOMPLETE: RESULT REQUIRED",IF(AND(J188="APPROVED DEVIATION",L188=""),"INCOMPLETE: DEVIATION ID REQUIRED","READY"))))</x:f>
        <x:v>INCOMPLETE</x:v>
      </x:c>
    </x:row>
    <x:row r="189" ht="68" customHeight="1">
      <x:c r="A189" s="43" t="str">
        <x:v>AERA-THR-006</x:v>
      </x:c>
      <x:c r="B189" s="44" t="str">
        <x:v>THR</x:v>
      </x:c>
      <x:c r="C189" s="44" t="str">
        <x:v>Human-oversight mechanisms SHALL define workload limits, consequence-prioritized queues, review-time and usability criteria, saturation detection, safe throttling, and timeout behavior that cannot convert absent review into permission.</x:v>
      </x:c>
      <x:c r="D189" s="44" t="str">
        <x:v>1.2 WD</x:v>
      </x:c>
      <x:c r="E189" s="44"/>
      <x:c r="F189" s="44"/>
      <x:c r="G189" s="44" t="str">
        <x:v>AERA-001-1.2WD-20260807.1-APPL-1</x:v>
      </x:c>
      <x:c r="H189" s="44"/>
      <x:c r="I189" s="44"/>
      <x:c r="J189" s="44"/>
      <x:c r="K189" s="44"/>
      <x:c r="L189" s="44"/>
      <x:c r="M189" s="44"/>
      <x:c r="N189" s="76"/>
      <x:c r="O189" s="45" t="str">
        <x:f>IF(OR(E189="",F189="",G189="",H189=""),"INCOMPLETE",IF(AND(H189="NOT APPLICABLE",J189&lt;&gt;""),"ERROR: RESULT SET FOR NOT APPLICABLE",IF(AND(H189="APPLICABLE",J189=""),"INCOMPLETE: RESULT REQUIRED",IF(AND(J189="APPROVED DEVIATION",L189=""),"INCOMPLETE: DEVIATION ID REQUIRED","READY"))))</x:f>
        <x:v>INCOMPLETE</x:v>
      </x:c>
    </x:row>
    <x:row r="190" ht="68" customHeight="1">
      <x:c r="A190" s="43" t="str">
        <x:v>AERA-VV-001</x:v>
      </x:c>
      <x:c r="B190" s="44" t="str">
        <x:v>VV</x:v>
      </x:c>
      <x:c r="C190" s="44" t="str">
        <x:v>Before formal validation begins, the accountable validation authority SHALL approve the decision class, configurations, operating environments, acceptance criteria, measures, uncertainty treatment, thresholds, failure conditions, and required evidence.</x:v>
      </x:c>
      <x:c r="D190" s="44" t="str">
        <x:v>1.2 WD</x:v>
      </x:c>
      <x:c r="E190" s="44"/>
      <x:c r="F190" s="44"/>
      <x:c r="G190" s="44" t="str">
        <x:v>AERA-001-1.2WD-20260807.1-APPL-1</x:v>
      </x:c>
      <x:c r="H190" s="44"/>
      <x:c r="I190" s="44"/>
      <x:c r="J190" s="44"/>
      <x:c r="K190" s="44"/>
      <x:c r="L190" s="44"/>
      <x:c r="M190" s="44"/>
      <x:c r="N190" s="76"/>
      <x:c r="O190" s="45" t="str">
        <x:f>IF(OR(E190="",F190="",G190="",H190=""),"INCOMPLETE",IF(AND(H190="NOT APPLICABLE",J190&lt;&gt;""),"ERROR: RESULT SET FOR NOT APPLICABLE",IF(AND(H190="APPLICABLE",J190=""),"INCOMPLETE: RESULT REQUIRED",IF(AND(J190="APPROVED DEVIATION",L190=""),"INCOMPLETE: DEVIATION ID REQUIRED","READY"))))</x:f>
        <x:v>INCOMPLETE</x:v>
      </x:c>
    </x:row>
    <x:row r="191" ht="68" customHeight="1">
      <x:c r="A191" s="43" t="str">
        <x:v>AERA-VV-002</x:v>
      </x:c>
      <x:c r="B191" s="44" t="str">
        <x:v>VV</x:v>
      </x:c>
      <x:c r="C191" s="44" t="str">
        <x:v>Validation of each material decision class SHALL include all applicable representative, boundary, adversarial, degraded, partitioned, common-mode, contradictory or stale evidence, identity, authority, policy, PNT, communications, tool or model, enforcement-bypass, recovery, and rollback conditions.</x:v>
      </x:c>
      <x:c r="D191" s="44" t="str">
        <x:v>1.2 WD</x:v>
      </x:c>
      <x:c r="E191" s="44"/>
      <x:c r="F191" s="44"/>
      <x:c r="G191" s="44" t="str">
        <x:v>AERA-001-1.2WD-20260807.1-APPL-1</x:v>
      </x:c>
      <x:c r="H191" s="44"/>
      <x:c r="I191" s="44"/>
      <x:c r="J191" s="44"/>
      <x:c r="K191" s="44"/>
      <x:c r="L191" s="44"/>
      <x:c r="M191" s="44"/>
      <x:c r="N191" s="76"/>
      <x:c r="O191" s="45" t="str">
        <x:f>IF(OR(E191="",F191="",G191="",H191=""),"INCOMPLETE",IF(AND(H191="NOT APPLICABLE",J191&lt;&gt;""),"ERROR: RESULT SET FOR NOT APPLICABLE",IF(AND(H191="APPLICABLE",J191=""),"INCOMPLETE: RESULT REQUIRED",IF(AND(J191="APPROVED DEVIATION",L191=""),"INCOMPLETE: DEVIATION ID REQUIRED","READY"))))</x:f>
        <x:v>INCOMPLETE</x:v>
      </x:c>
    </x:row>
    <x:row r="192" ht="68" customHeight="1">
      <x:c r="A192" s="43" t="str">
        <x:v>AERA-VV-003</x:v>
      </x:c>
      <x:c r="B192" s="44" t="str">
        <x:v>VV</x:v>
      </x:c>
      <x:c r="C192" s="44" t="str">
        <x:v>Each CC-3 or CC-4 decision class SHALL maintain a configuration-bound assurance case that states the top claim, scope and context, assumptions, argument, subclaims, evidence, rebuttals, limitations, residual risk, validity, monitoring, and reassessment triggers.</x:v>
      </x:c>
      <x:c r="D192" s="44" t="str">
        <x:v>1.2 WD</x:v>
      </x:c>
      <x:c r="E192" s="44"/>
      <x:c r="F192" s="44"/>
      <x:c r="G192" s="44" t="str">
        <x:v>AERA-001-1.2WD-20260807.1-APPL-1</x:v>
      </x:c>
      <x:c r="H192" s="44"/>
      <x:c r="I192" s="44"/>
      <x:c r="J192" s="44"/>
      <x:c r="K192" s="44"/>
      <x:c r="L192" s="44"/>
      <x:c r="M192" s="44"/>
      <x:c r="N192" s="76"/>
      <x:c r="O192" s="45" t="str">
        <x:f>IF(OR(E192="",F192="",G192="",H192=""),"INCOMPLETE",IF(AND(H192="NOT APPLICABLE",J192&lt;&gt;""),"ERROR: RESULT SET FOR NOT APPLICABLE",IF(AND(H192="APPLICABLE",J192=""),"INCOMPLETE: RESULT REQUIRED",IF(AND(J192="APPROVED DEVIATION",L192=""),"INCOMPLETE: DEVIATION ID REQUIRED","READY"))))</x:f>
        <x:v>INCOMPLETE</x:v>
      </x:c>
    </x:row>
    <x:row r="193" ht="68" customHeight="1">
      <x:c r="A193" s="43" t="str">
        <x:v>AERA-VV-004</x:v>
      </x:c>
      <x:c r="B193" s="44" t="str">
        <x:v>VV</x:v>
      </x:c>
      <x:c r="C193" s="44" t="str">
        <x:v>The accountable authority SHALL approve the assurance case for each CC-3 or CC-4 decision class before production authority is granted and after any material change that invalidates a claim or item of evidence.</x:v>
      </x:c>
      <x:c r="D193" s="44" t="str">
        <x:v>1.2 WD</x:v>
      </x:c>
      <x:c r="E193" s="44"/>
      <x:c r="F193" s="44"/>
      <x:c r="G193" s="44" t="str">
        <x:v>AERA-001-1.2WD-20260807.1-APPL-1</x:v>
      </x:c>
      <x:c r="H193" s="44"/>
      <x:c r="I193" s="44"/>
      <x:c r="J193" s="44"/>
      <x:c r="K193" s="44"/>
      <x:c r="L193" s="44"/>
      <x:c r="M193" s="44"/>
      <x:c r="N193" s="76"/>
      <x:c r="O193" s="45" t="str">
        <x:f>IF(OR(E193="",F193="",G193="",H193=""),"INCOMPLETE",IF(AND(H193="NOT APPLICABLE",J193&lt;&gt;""),"ERROR: RESULT SET FOR NOT APPLICABLE",IF(AND(H193="APPLICABLE",J193=""),"INCOMPLETE: RESULT REQUIRED",IF(AND(J193="APPROVED DEVIATION",L193=""),"INCOMPLETE: DEVIATION ID REQUIRED","READY"))))</x:f>
        <x:v>INCOMPLETE</x:v>
      </x:c>
    </x:row>
    <x:row r="194" ht="68" customHeight="1">
      <x:c r="A194" s="43" t="str">
        <x:v>AERA-VV-005</x:v>
      </x:c>
      <x:c r="B194" s="44" t="str">
        <x:v>VV</x:v>
      </x:c>
      <x:c r="C194" s="44" t="str">
        <x:v>Each formal test SHALL define a decision oracle, expected result, tolerance, treatment of indeterminate outcomes, and defect-disposition rule before execution.</x:v>
      </x:c>
      <x:c r="D194" s="44" t="str">
        <x:v>1.2 WD</x:v>
      </x:c>
      <x:c r="E194" s="44"/>
      <x:c r="F194" s="44"/>
      <x:c r="G194" s="44" t="str">
        <x:v>AERA-001-1.2WD-20260807.1-APPL-1</x:v>
      </x:c>
      <x:c r="H194" s="44"/>
      <x:c r="I194" s="44"/>
      <x:c r="J194" s="44"/>
      <x:c r="K194" s="44"/>
      <x:c r="L194" s="44"/>
      <x:c r="M194" s="44"/>
      <x:c r="N194" s="76"/>
      <x:c r="O194" s="45" t="str">
        <x:f>IF(OR(E194="",F194="",G194="",H194=""),"INCOMPLETE",IF(AND(H194="NOT APPLICABLE",J194&lt;&gt;""),"ERROR: RESULT SET FOR NOT APPLICABLE",IF(AND(H194="APPLICABLE",J194=""),"INCOMPLETE: RESULT REQUIRED",IF(AND(J194="APPROVED DEVIATION",L194=""),"INCOMPLETE: DEVIATION ID REQUIRED","READY"))))</x:f>
        <x:v>INCOMPLETE</x:v>
      </x:c>
    </x:row>
    <x:row r="195" ht="68" customHeight="1">
      <x:c r="A195" s="43" t="str">
        <x:v>AERA-VV-006</x:v>
      </x:c>
      <x:c r="B195" s="44" t="str">
        <x:v>VV</x:v>
      </x:c>
      <x:c r="C195" s="44" t="str">
        <x:v>A validation campaign SHALL predeclare coverage, sampling basis, sample size or stopping rule, statistical or epistemic uncertainty treatment, environment and configuration, and limits on inference to the claimed decision population.</x:v>
      </x:c>
      <x:c r="D195" s="44" t="str">
        <x:v>1.2 WD</x:v>
      </x:c>
      <x:c r="E195" s="44"/>
      <x:c r="F195" s="44"/>
      <x:c r="G195" s="44" t="str">
        <x:v>AERA-001-1.2WD-20260807.1-APPL-1</x:v>
      </x:c>
      <x:c r="H195" s="44"/>
      <x:c r="I195" s="44"/>
      <x:c r="J195" s="44"/>
      <x:c r="K195" s="44"/>
      <x:c r="L195" s="44"/>
      <x:c r="M195" s="44"/>
      <x:c r="N195" s="76"/>
      <x:c r="O195" s="45" t="str">
        <x:f>IF(OR(E195="",F195="",G195="",H195=""),"INCOMPLETE",IF(AND(H195="NOT APPLICABLE",J195&lt;&gt;""),"ERROR: RESULT SET FOR NOT APPLICABLE",IF(AND(H195="APPLICABLE",J195=""),"INCOMPLETE: RESULT REQUIRED",IF(AND(J195="APPROVED DEVIATION",L195=""),"INCOMPLETE: DEVIATION ID REQUIRED","READY"))))</x:f>
        <x:v>INCOMPLETE</x:v>
      </x:c>
    </x:row>
    <x:row r="196" ht="68" customHeight="1">
      <x:c r="A196" s="43" t="str">
        <x:v>AERA-VV-007</x:v>
      </x:c>
      <x:c r="B196" s="44" t="str">
        <x:v>VV</x:v>
      </x:c>
      <x:c r="C196" s="44" t="str">
        <x:v>Each active normative requirement SHALL reference at least one profile- and consequence-specific verification procedure; a requirement lacking an approved procedure or sufficient current evidence SHALL be assessed INDETERMINATE rather than SATISFIED.</x:v>
      </x:c>
      <x:c r="D196" s="44" t="str">
        <x:v>1.2 WD</x:v>
      </x:c>
      <x:c r="E196" s="44"/>
      <x:c r="F196" s="44"/>
      <x:c r="G196" s="44" t="str">
        <x:v>AERA-001-1.2WD-20260807.1-APPL-1</x:v>
      </x:c>
      <x:c r="H196" s="44"/>
      <x:c r="I196" s="44"/>
      <x:c r="J196" s="44"/>
      <x:c r="K196" s="44"/>
      <x:c r="L196" s="44"/>
      <x:c r="M196" s="44"/>
      <x:c r="N196" s="76"/>
      <x:c r="O196" s="45" t="str">
        <x:f>IF(OR(E196="",F196="",G196="",H196=""),"INCOMPLETE",IF(AND(H196="NOT APPLICABLE",J196&lt;&gt;""),"ERROR: RESULT SET FOR NOT APPLICABLE",IF(AND(H196="APPLICABLE",J196=""),"INCOMPLETE: RESULT REQUIRED",IF(AND(J196="APPROVED DEVIATION",L196=""),"INCOMPLETE: DEVIATION ID REQUIRED","READY"))))</x:f>
        <x:v>INCOMPLETE</x:v>
      </x:c>
    </x:row>
    <x:row r="197" ht="68" customHeight="1">
      <x:c r="A197" s="43" t="str">
        <x:v>AERA-XW-001</x:v>
      </x:c>
      <x:c r="B197" s="44" t="str">
        <x:v>XW</x:v>
      </x:c>
      <x:c r="C197" s="44" t="str">
        <x:v>Every external mapping SHALL identify the official source, publication status, version or release, access date, and mapping direction.</x:v>
      </x:c>
      <x:c r="D197" s="44" t="str">
        <x:v>1.2 WD</x:v>
      </x:c>
      <x:c r="E197" s="44"/>
      <x:c r="F197" s="44"/>
      <x:c r="G197" s="44" t="str">
        <x:v>AERA-001-1.2WD-20260807.1-APPL-1</x:v>
      </x:c>
      <x:c r="H197" s="44"/>
      <x:c r="I197" s="44"/>
      <x:c r="J197" s="44"/>
      <x:c r="K197" s="44"/>
      <x:c r="L197" s="44"/>
      <x:c r="M197" s="44"/>
      <x:c r="N197" s="76"/>
      <x:c r="O197" s="45" t="str">
        <x:f>IF(OR(E197="",F197="",G197="",H197=""),"INCOMPLETE",IF(AND(H197="NOT APPLICABLE",J197&lt;&gt;""),"ERROR: RESULT SET FOR NOT APPLICABLE",IF(AND(H197="APPLICABLE",J197=""),"INCOMPLETE: RESULT REQUIRED",IF(AND(J197="APPROVED DEVIATION",L197=""),"INCOMPLETE: DEVIATION ID REQUIRED","READY"))))</x:f>
        <x:v>INCOMPLETE</x:v>
      </x:c>
    </x:row>
    <x:row r="198" ht="68" customHeight="1">
      <x:c r="A198" s="43" t="str">
        <x:v>AERA-XW-002</x:v>
      </x:c>
      <x:c r="B198" s="44" t="str">
        <x:v>XW</x:v>
      </x:c>
      <x:c r="C198" s="44" t="str">
        <x:v>An AERA conformance claim SHALL NOT be inferred from external certification, authorization, maturity, or framework alignment, and an AERA assessment SHALL NOT be represented as satisfying an external obligation without an independent assessment against that source.</x:v>
      </x:c>
      <x:c r="D198" s="44" t="str">
        <x:v>1.2 WD</x:v>
      </x:c>
      <x:c r="E198" s="44"/>
      <x:c r="F198" s="44"/>
      <x:c r="G198" s="44" t="str">
        <x:v>AERA-001-1.2WD-20260807.1-APPL-1</x:v>
      </x:c>
      <x:c r="H198" s="44"/>
      <x:c r="I198" s="44"/>
      <x:c r="J198" s="44"/>
      <x:c r="K198" s="44"/>
      <x:c r="L198" s="44"/>
      <x:c r="M198" s="44"/>
      <x:c r="N198" s="76"/>
      <x:c r="O198" s="45" t="str">
        <x:f>IF(OR(E198="",F198="",G198="",H198=""),"INCOMPLETE",IF(AND(H198="NOT APPLICABLE",J198&lt;&gt;""),"ERROR: RESULT SET FOR NOT APPLICABLE",IF(AND(H198="APPLICABLE",J198=""),"INCOMPLETE: RESULT REQUIRED",IF(AND(J198="APPROVED DEVIATION",L198=""),"INCOMPLETE: DEVIATION ID REQUIRED","READY"))))</x:f>
        <x:v>INCOMPLETE</x:v>
      </x:c>
    </x:row>
    <x:row r="199" ht="68" customHeight="1">
      <x:c r="A199" s="43" t="str">
        <x:v>AERA-XW-003</x:v>
      </x:c>
      <x:c r="B199" s="44" t="str">
        <x:v>XW</x:v>
      </x:c>
      <x:c r="C199" s="44" t="str">
        <x:v>External evidence SHALL be reused only when the asset, decision class, control implementation, operating context, assessment period, evidence integrity, and assurance level are shown to match the AERA claim.</x:v>
      </x:c>
      <x:c r="D199" s="44" t="str">
        <x:v>1.2 WD</x:v>
      </x:c>
      <x:c r="E199" s="44"/>
      <x:c r="F199" s="44"/>
      <x:c r="G199" s="44" t="str">
        <x:v>AERA-001-1.2WD-20260807.1-APPL-1</x:v>
      </x:c>
      <x:c r="H199" s="44"/>
      <x:c r="I199" s="44"/>
      <x:c r="J199" s="44"/>
      <x:c r="K199" s="44"/>
      <x:c r="L199" s="44"/>
      <x:c r="M199" s="44"/>
      <x:c r="N199" s="76"/>
      <x:c r="O199" s="45" t="str">
        <x:f>IF(OR(E199="",F199="",G199="",H199=""),"INCOMPLETE",IF(AND(H199="NOT APPLICABLE",J199&lt;&gt;""),"ERROR: RESULT SET FOR NOT APPLICABLE",IF(AND(H199="APPLICABLE",J199=""),"INCOMPLETE: RESULT REQUIRED",IF(AND(J199="APPROVED DEVIATION",L199=""),"INCOMPLETE: DEVIATION ID REQUIRED","READY"))))</x:f>
        <x:v>INCOMPLETE</x:v>
      </x:c>
    </x:row>
    <x:row r="200" ht="68" customHeight="1">
      <x:c r="A200" s="46" t="str">
        <x:v>AERA-XW-004</x:v>
      </x:c>
      <x:c r="B200" s="47" t="str">
        <x:v>XW</x:v>
      </x:c>
      <x:c r="C200" s="47" t="str">
        <x:v>Mappings SHALL be reviewed when AERA changes, an external source is revised or superseded, applicable law or policy changes, or operational evidence reveals a semantic gap.</x:v>
      </x:c>
      <x:c r="D200" s="47" t="str">
        <x:v>1.2 WD</x:v>
      </x:c>
      <x:c r="E200" s="47"/>
      <x:c r="F200" s="47"/>
      <x:c r="G200" s="47" t="str">
        <x:v>AERA-001-1.2WD-20260807.1-APPL-1</x:v>
      </x:c>
      <x:c r="H200" s="47"/>
      <x:c r="I200" s="47"/>
      <x:c r="J200" s="47"/>
      <x:c r="K200" s="47"/>
      <x:c r="L200" s="47"/>
      <x:c r="M200" s="47"/>
      <x:c r="N200" s="77"/>
      <x:c r="O200" s="48" t="str">
        <x:f>IF(OR(E200="",F200="",G200="",H200=""),"INCOMPLETE",IF(AND(H200="NOT APPLICABLE",J200&lt;&gt;""),"ERROR: RESULT SET FOR NOT APPLICABLE",IF(AND(H200="APPLICABLE",J200=""),"INCOMPLETE: RESULT REQUIRED",IF(AND(J200="APPROVED DEVIATION",L200=""),"INCOMPLETE: DEVIATION ID REQUIRED","READY"))))</x:f>
        <x:v>INCOMPLETE</x:v>
      </x:c>
    </x:row>
  </x:sheetData>
  <x:conditionalFormatting sqref="O2:O200">
    <x:cfRule type="beginsWith" dxfId="0" priority="1" operator="beginsWith" text="ERROR"/>
    <x:cfRule type="containsText" dxfId="1" priority="2" operator="containsText" text="READY"/>
  </x:conditionalFormatting>
  <x:dataValidations count="2">
    <x:dataValidation type="list" sqref="H2:H200">
      <x:formula1>"APPLICABLE,NOT APPLICABLE"</x:formula1>
    </x:dataValidation>
    <x:dataValidation type="list" sqref="J2:J200">
      <x:formula1>"SATISFIED,NOT SATISFIED,INDETERMINATE,APPROVED DEVIATION"</x:formula1>
    </x:dataValidation>
  </x:dataValidations>
  <x:pageMargins left="0.7" right="0.7" top="0.75" bottom="0.75" header="0.3" footer="0.3"/>
  <x:tableParts count="1">
    <x:tablePart xmlns:r="http://schemas.openxmlformats.org/officeDocument/2006/relationships" r:id="R0f57cc9e29744f4e"/>
  </x:tableParts>
</x:worksheet>
</file>

<file path=xl/worksheets/sheet3.xml><?xml version="1.0" encoding="utf-8"?>
<x:worksheet xmlns:x="http://schemas.openxmlformats.org/spreadsheetml/2006/main">
  <x:sheetFormatPr defaultRowHeight="15"/>
  <x:cols>
    <x:col min="1" max="1" width="24" hidden="0" customWidth="1"/>
    <x:col min="2" max="2" width="42" hidden="0" customWidth="1"/>
    <x:col min="3" max="3" width="4" hidden="0" customWidth="1"/>
    <x:col min="4" max="4" width="26" hidden="0" customWidth="1"/>
    <x:col min="5" max="5" width="18" hidden="0" customWidth="1"/>
    <x:col min="6" max="6" width="18" hidden="0" customWidth="1"/>
  </x:cols>
  <x:sheetData>
    <x:row r="1" ht="34" customHeight="1">
      <x:c r="A1" s="84" t="str">
        <x:v>AERA 1.2 WD Requirement Register</x:v>
      </x:c>
      <x:c r="B1" s="84"/>
      <x:c r="C1" s="84"/>
      <x:c r="D1" s="84"/>
      <x:c r="E1" s="84"/>
      <x:c r="F1" s="84"/>
    </x:row>
    <x:row r="2" ht="32" customHeight="1">
      <x:c r="A2" s="92" t="str">
        <x:v>Authoritative machine-readable companion to Appendix A. Counts are formula-derived from the controlled register.</x:v>
      </x:c>
      <x:c r="B2" s="92"/>
      <x:c r="C2" s="92"/>
      <x:c r="D2" s="92"/>
      <x:c r="E2" s="92"/>
      <x:c r="F2" s="92"/>
    </x:row>
    <x:row r="4">
      <x:c r="A4" s="102" t="str">
        <x:v>Control</x:v>
      </x:c>
      <x:c r="B4" s="102" t="str">
        <x:v>Value</x:v>
      </x:c>
      <x:c r="D4" s="110" t="str">
        <x:v>Measure</x:v>
      </x:c>
      <x:c r="E4" s="110" t="str">
        <x:v>Value</x:v>
      </x:c>
    </x:row>
    <x:row r="5">
      <x:c r="A5" s="103" t="str">
        <x:v>Edition</x:v>
      </x:c>
      <x:c r="B5" s="104" t="str">
        <x:v>AERA 1.2 WD</x:v>
      </x:c>
      <x:c r="D5" t="str">
        <x:v>Normative requirements</x:v>
      </x:c>
      <x:c r="E5" t="n">
        <x:f>COUNTA('Requirements'!A2:A200)</x:f>
        <x:v>199</x:v>
      </x:c>
    </x:row>
    <x:row r="6">
      <x:c r="A6" s="103" t="str">
        <x:v>Controlled date</x:v>
      </x:c>
      <x:c r="B6" s="104" t="str">
        <x:v>2026-08-07</x:v>
      </x:c>
      <x:c r="D6" t="str">
        <x:v>Proposed requirements</x:v>
      </x:c>
      <x:c r="E6" t="n">
        <x:f>COUNTIF('Requirements'!E2:E200,"PROPOSED")</x:f>
        <x:v>199</x:v>
      </x:c>
    </x:row>
    <x:row r="7">
      <x:c r="A7" s="103" t="str">
        <x:v>Author / owner</x:v>
      </x:c>
      <x:c r="B7" s="104" t="str">
        <x:v>Angelis Pseftis / independent author</x:v>
      </x:c>
      <x:c r="D7" t="str">
        <x:v>Governance-family requirements</x:v>
      </x:c>
      <x:c r="E7" t="n">
        <x:f>COUNTIF('Requirements'!B2:B200,"GOVR")</x:f>
        <x:v>12</x:v>
      </x:c>
    </x:row>
    <x:row r="8">
      <x:c r="A8" s="103" t="str">
        <x:v>Status</x:v>
      </x:c>
      <x:c r="B8" s="104" t="str">
        <x:v>Working Draft; independently authored; no NIST endorsement or support claim</x:v>
      </x:c>
      <x:c r="D8" t="str">
        <x:v>Applicability records</x:v>
      </x:c>
      <x:c r="E8" t="n">
        <x:f>COUNTA('Applicability Template'!A2:A200)</x:f>
        <x:v>199</x:v>
      </x:c>
    </x:row>
    <x:row r="9">
      <x:c r="A9" s="103" t="str">
        <x:v>Source rule</x:v>
      </x:c>
      <x:c r="B9" s="104" t="str">
        <x:v>Generated from the same controlled source used for the master specification</x:v>
      </x:c>
      <x:c r="D9" t="str">
        <x:v>Applicability set</x:v>
      </x:c>
      <x:c r="E9" t="n">
        <x:f>COUNTA('Applicability Template'!H2:H200)</x:f>
        <x:v>0</x:v>
      </x:c>
    </x:row>
    <x:row r="10">
      <x:c r="D10" t="str">
        <x:v>Applicability QA ready</x:v>
      </x:c>
      <x:c r="E10" t="n">
        <x:f>COUNTIF('Applicability Template'!O2:O200,"READY")</x:f>
        <x:v>0</x:v>
      </x:c>
    </x:row>
    <x:row r="12">
      <x:c r="A12" s="114" t="str">
        <x:v>Release and use notes</x:v>
      </x:c>
      <x:c r="B12" s="114"/>
      <x:c r="C12" s="114"/>
      <x:c r="D12" s="114"/>
      <x:c r="E12" s="114"/>
      <x:c r="F12" s="114"/>
    </x:row>
    <x:row r="13" ht="34" customHeight="1">
      <x:c r="A13" s="116" t="str">
        <x:v>• A row is normative only because the master specification declares it normative; this workbook does not create a second requirement meaning.</x:v>
      </x:c>
      <x:c r="B13" s="116"/>
      <x:c r="C13" s="116"/>
      <x:c r="D13" s="116"/>
      <x:c r="E13" s="116"/>
      <x:c r="F13" s="116"/>
    </x:row>
    <x:row r="14" ht="34" customHeight="1">
      <x:c r="A14" s="116" t="str">
        <x:v>• Any text mismatch between this register and Appendix A is a release-blocking publication defect.</x:v>
      </x:c>
      <x:c r="B14" s="116"/>
      <x:c r="C14" s="116"/>
      <x:c r="D14" s="116"/>
      <x:c r="E14" s="116"/>
      <x:c r="F14" s="116"/>
    </x:row>
    <x:row r="15" ht="34" customHeight="1">
      <x:c r="A15" s="116" t="str">
        <x:v>• Applicability is recorded separately from assessment result. NOT APPLICABLE rows must not carry an assessment result.</x:v>
      </x:c>
      <x:c r="B15" s="116"/>
      <x:c r="C15" s="116"/>
      <x:c r="D15" s="116"/>
      <x:c r="E15" s="116"/>
      <x:c r="F15" s="116"/>
    </x:row>
    <x:row r="16" ht="34" customHeight="1">
      <x:c r="A16" s="116" t="str">
        <x:v>• APPROVED DEVIATION is an assessment result only when a current deviation identifier is supplied; it does not make the row conforming.</x:v>
      </x:c>
      <x:c r="B16" s="116"/>
      <x:c r="C16" s="116"/>
      <x:c r="D16" s="116"/>
      <x:c r="E16" s="116"/>
      <x:c r="F16" s="116"/>
    </x:row>
    <x:row r="17" ht="34" customHeight="1">
      <x:c r="A17" s="116" t="str">
        <x:v>• External mappings and implementation evidence are maintained separately and do not establish compliance or endorsement.</x:v>
      </x:c>
      <x:c r="B17" s="116"/>
      <x:c r="C17" s="116"/>
      <x:c r="D17" s="116"/>
      <x:c r="E17" s="116"/>
      <x:c r="F17" s="116"/>
    </x:row>
  </x:sheetData>
  <x:mergeCells>
    <x:mergeCell ref="A1:F1"/>
    <x:mergeCell ref="A2:F2"/>
    <x:mergeCell ref="A12:F12"/>
    <x:mergeCell ref="A13:F13"/>
    <x:mergeCell ref="A14:F14"/>
    <x:mergeCell ref="A15:F15"/>
    <x:mergeCell ref="A16:F16"/>
    <x:mergeCell ref="A17:F17"/>
  </x:mergeCells>
  <x:pageMargins left="0.7" right="0.7" top="0.75" bottom="0.75" header="0.3" footer="0.3"/>
</x:worksheet>
</file>