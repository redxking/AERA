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ab53a0394e440f" /></Relationships>
</file>

<file path=xl/workbook.xml><?xml version="1.0" encoding="utf-8"?>
<x:workbook xmlns:x="http://schemas.openxmlformats.org/spreadsheetml/2006/main">
  <x:sheets>
    <x:sheet xmlns:r="http://schemas.openxmlformats.org/officeDocument/2006/relationships" name="Review Log" sheetId="1" r:id="R97240c0cd6b94e2a"/>
    <x:sheet xmlns:r="http://schemas.openxmlformats.org/officeDocument/2006/relationships" name="Summary" sheetId="2" r:id="R6d29bc4525a3441c"/>
    <x:sheet xmlns:r="http://schemas.openxmlformats.org/officeDocument/2006/relationships" name="Controlled Vocabulary" sheetId="3" r:id="Rc8bae182fdad450e"/>
    <x:sheet xmlns:r="http://schemas.openxmlformats.org/officeDocument/2006/relationships" name="Requirements Snapshot" sheetId="4" r:id="R0f7270955597479e"/>
    <x:sheet xmlns:r="http://schemas.openxmlformats.org/officeDocument/2006/relationships" name="Threat Snapshot" sheetId="5" r:id="Rdf4d80714d594954"/>
    <x:sheet xmlns:r="http://schemas.openxmlformats.org/officeDocument/2006/relationships" name="Source Snapshot" sheetId="6" r:id="R213c652d03c6475d"/>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8"/>
      <x:color rgb="FFFFFFFF"/>
      <x:name val="Carlito"/>
    </x:font>
    <x:font>
      <x:i/>
      <x:sz val="10"/>
      <x:color rgb="FF52616B"/>
      <x:name val="Carlito"/>
    </x:font>
    <x:font>
      <x:b/>
      <x:sz val="11"/>
      <x:color rgb="FFFFFFFF"/>
      <x:name val="Carlito"/>
    </x:font>
    <x:font>
      <x:b/>
      <x:sz val="11"/>
      <x:color rgb="FF17324D"/>
      <x:name val="Carlito"/>
    </x:font>
    <x:font>
      <x:i/>
      <x:sz val="11"/>
      <x:color rgb="FF52616B"/>
      <x:name val="Carlito"/>
    </x:font>
    <x:font>
      <x:b/>
      <x:sz val="16"/>
      <x:color rgb="FFFFFFFF"/>
      <x:name val="Carlito"/>
    </x:font>
    <x:font>
      <x:sz val="9"/>
      <x:color rgb="FF172026"/>
      <x:name val="Aptos"/>
    </x:font>
    <x:font>
      <x:b/>
      <x:sz val="10"/>
      <x:color rgb="FFFFFFFF"/>
      <x:name val="Aptos"/>
    </x:font>
  </x:fonts>
  <x:fills count="8">
    <x:fill>
      <x:patternFill patternType="none"/>
    </x:fill>
    <x:fill>
      <x:patternFill patternType="gray125"/>
    </x:fill>
    <x:fill>
      <x:patternFill patternType="solid">
        <x:fgColor rgb="FF17324D"/>
      </x:patternFill>
    </x:fill>
    <x:fill>
      <x:patternFill patternType="solid">
        <x:fgColor rgb="FFEAF0F4"/>
      </x:patternFill>
    </x:fill>
    <x:fill>
      <x:patternFill patternType="solid">
        <x:fgColor rgb="FF245B78"/>
      </x:patternFill>
    </x:fill>
    <x:fill>
      <x:patternFill patternType="solid">
        <x:fgColor rgb="FFB08A3E"/>
      </x:patternFill>
    </x:fill>
    <x:fill>
      <x:patternFill patternType="solid">
        <x:fgColor rgb="FFF5F7F9"/>
      </x:patternFill>
    </x:fill>
    <x:fill>
      <x:patternFill patternType="solid">
        <x:fgColor rgb="FF2B7A78"/>
      </x:patternFill>
    </x:fill>
  </x:fills>
  <x:borders count="26">
    <x:border/>
    <x:border/>
    <x:border>
      <x:bottom style="thin">
        <x:color rgb="FFD5DDE3"/>
      </x:bottom>
    </x:border>
    <x:border>
      <x:top style="thin">
        <x:color rgb="FFD5DDE3"/>
      </x:top>
      <x:bottom style="thin">
        <x:color rgb="FFD5DDE3"/>
      </x:bottom>
    </x:border>
    <x:border>
      <x:top style="thin">
        <x:color rgb="FFD5DDE3"/>
      </x:top>
      <x:bottom style="thin">
        <x:color rgb="FFAAB7C1"/>
      </x:bottom>
    </x:border>
    <x:border>
      <x:bottom style="thin">
        <x:color rgb="FFD5DDE3"/>
      </x:bottom>
    </x:border>
    <x:border>
      <x:top style="thin">
        <x:color rgb="FFD5DDE3"/>
      </x:top>
      <x:bottom style="thin">
        <x:color rgb="FFD5DDE3"/>
      </x:bottom>
    </x:border>
    <x:border>
      <x:top style="thin">
        <x:color rgb="FFD5DDE3"/>
      </x:top>
      <x:bottom style="thin">
        <x:color rgb="FFAAB7C1"/>
      </x:bottom>
    </x:border>
    <x:border>
      <x:left style="thin">
        <x:color rgb="FFAAB7C1"/>
      </x:left>
      <x:right style="thin">
        <x:color rgb="FFD5DDE3"/>
      </x:right>
      <x:top style="thin">
        <x:color rgb="FFAAB7C1"/>
      </x:top>
      <x:bottom style="thin">
        <x:color rgb="FFD5DDE3"/>
      </x:bottom>
    </x:border>
    <x:border>
      <x:left style="thin">
        <x:color rgb="FFD5DDE3"/>
      </x:left>
      <x:right style="thin">
        <x:color rgb="FFD5DDE3"/>
      </x:right>
      <x:top style="thin">
        <x:color rgb="FFAAB7C1"/>
      </x:top>
      <x:bottom style="thin">
        <x:color rgb="FFD5DDE3"/>
      </x:bottom>
    </x:border>
    <x:border>
      <x:left style="thin">
        <x:color rgb="FFD5DDE3"/>
      </x:left>
      <x:right style="thin">
        <x:color rgb="FFAAB7C1"/>
      </x:right>
      <x:top style="thin">
        <x:color rgb="FFAAB7C1"/>
      </x:top>
      <x:bottom style="thin">
        <x:color rgb="FFD5DDE3"/>
      </x:bottom>
    </x:border>
    <x:border>
      <x:left style="thin">
        <x:color rgb="FFAAB7C1"/>
      </x:left>
      <x:right style="thin">
        <x:color rgb="FFD5DDE3"/>
      </x:right>
      <x:top style="thin">
        <x:color rgb="FFD5DDE3"/>
      </x:top>
      <x:bottom style="thin">
        <x:color rgb="FFD5DDE3"/>
      </x:bottom>
    </x:border>
    <x:border>
      <x:left style="thin">
        <x:color rgb="FFD5DDE3"/>
      </x:left>
      <x:right style="thin">
        <x:color rgb="FFD5DDE3"/>
      </x:right>
      <x:top style="thin">
        <x:color rgb="FFD5DDE3"/>
      </x:top>
      <x:bottom style="thin">
        <x:color rgb="FFD5DDE3"/>
      </x:bottom>
    </x:border>
    <x:border>
      <x:left style="thin">
        <x:color rgb="FFD5DDE3"/>
      </x:left>
      <x:right style="thin">
        <x:color rgb="FFAAB7C1"/>
      </x:right>
      <x:top style="thin">
        <x:color rgb="FFD5DDE3"/>
      </x:top>
      <x:bottom style="thin">
        <x:color rgb="FFD5DDE3"/>
      </x:bottom>
    </x:border>
    <x:border>
      <x:left style="thin">
        <x:color rgb="FFAAB7C1"/>
      </x:left>
      <x:right style="thin">
        <x:color rgb="FFD5DDE3"/>
      </x:right>
      <x:top style="thin">
        <x:color rgb="FFD5DDE3"/>
      </x:top>
      <x:bottom style="thin">
        <x:color rgb="FFAAB7C1"/>
      </x:bottom>
    </x:border>
    <x:border>
      <x:left style="thin">
        <x:color rgb="FFD5DDE3"/>
      </x:left>
      <x:right style="thin">
        <x:color rgb="FFD5DDE3"/>
      </x:right>
      <x:top style="thin">
        <x:color rgb="FFD5DDE3"/>
      </x:top>
      <x:bottom style="thin">
        <x:color rgb="FFAAB7C1"/>
      </x:bottom>
    </x:border>
    <x:border>
      <x:left style="thin">
        <x:color rgb="FFD5DDE3"/>
      </x:left>
      <x:right style="thin">
        <x:color rgb="FFAAB7C1"/>
      </x:right>
      <x:top style="thin">
        <x:color rgb="FFD5DDE3"/>
      </x:top>
      <x:bottom style="thin">
        <x:color rgb="FFAAB7C1"/>
      </x:bottom>
    </x:border>
    <x:border>
      <x:left style="thin">
        <x:color rgb="FFAAB7C1"/>
      </x:left>
      <x:right style="thin">
        <x:color rgb="FFD5DDE3"/>
      </x:right>
      <x:top style="thin">
        <x:color rgb="FFAAB7C1"/>
      </x:top>
      <x:bottom style="thin">
        <x:color rgb="FFD5DDE3"/>
      </x:bottom>
    </x:border>
    <x:border>
      <x:left style="thin">
        <x:color rgb="FFD5DDE3"/>
      </x:left>
      <x:right style="thin">
        <x:color rgb="FFD5DDE3"/>
      </x:right>
      <x:top style="thin">
        <x:color rgb="FFAAB7C1"/>
      </x:top>
      <x:bottom style="thin">
        <x:color rgb="FFD5DDE3"/>
      </x:bottom>
    </x:border>
    <x:border>
      <x:left style="thin">
        <x:color rgb="FFD5DDE3"/>
      </x:left>
      <x:right style="thin">
        <x:color rgb="FFAAB7C1"/>
      </x:right>
      <x:top style="thin">
        <x:color rgb="FFAAB7C1"/>
      </x:top>
      <x:bottom style="thin">
        <x:color rgb="FFD5DDE3"/>
      </x:bottom>
    </x:border>
    <x:border>
      <x:left style="thin">
        <x:color rgb="FFAAB7C1"/>
      </x:left>
      <x:right style="thin">
        <x:color rgb="FFD5DDE3"/>
      </x:right>
      <x:top style="thin">
        <x:color rgb="FFD5DDE3"/>
      </x:top>
      <x:bottom style="thin">
        <x:color rgb="FFD5DDE3"/>
      </x:bottom>
    </x:border>
    <x:border>
      <x:left style="thin">
        <x:color rgb="FFD5DDE3"/>
      </x:left>
      <x:right style="thin">
        <x:color rgb="FFD5DDE3"/>
      </x:right>
      <x:top style="thin">
        <x:color rgb="FFD5DDE3"/>
      </x:top>
      <x:bottom style="thin">
        <x:color rgb="FFD5DDE3"/>
      </x:bottom>
    </x:border>
    <x:border>
      <x:left style="thin">
        <x:color rgb="FFD5DDE3"/>
      </x:left>
      <x:right style="thin">
        <x:color rgb="FFAAB7C1"/>
      </x:right>
      <x:top style="thin">
        <x:color rgb="FFD5DDE3"/>
      </x:top>
      <x:bottom style="thin">
        <x:color rgb="FFD5DDE3"/>
      </x:bottom>
    </x:border>
    <x:border>
      <x:left style="thin">
        <x:color rgb="FFAAB7C1"/>
      </x:left>
      <x:right style="thin">
        <x:color rgb="FFD5DDE3"/>
      </x:right>
      <x:top style="thin">
        <x:color rgb="FFD5DDE3"/>
      </x:top>
      <x:bottom style="thin">
        <x:color rgb="FFAAB7C1"/>
      </x:bottom>
    </x:border>
    <x:border>
      <x:left style="thin">
        <x:color rgb="FFD5DDE3"/>
      </x:left>
      <x:right style="thin">
        <x:color rgb="FFD5DDE3"/>
      </x:right>
      <x:top style="thin">
        <x:color rgb="FFD5DDE3"/>
      </x:top>
      <x:bottom style="thin">
        <x:color rgb="FFAAB7C1"/>
      </x:bottom>
    </x:border>
    <x:border>
      <x:left style="thin">
        <x:color rgb="FFD5DDE3"/>
      </x:left>
      <x:right style="thin">
        <x:color rgb="FFAAB7C1"/>
      </x:right>
      <x:top style="thin">
        <x:color rgb="FFD5DDE3"/>
      </x:top>
      <x:bottom style="thin">
        <x:color rgb="FFAAB7C1"/>
      </x:bottom>
    </x:border>
  </x:borders>
  <x:cellStyleXfs count="1">
    <x:xf numFmtId="0" fontId="0" fillId="0" borderId="0"/>
  </x:cellStyleXfs>
  <x:cellXfs count="13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applyAlignment="1">
      <x:alignment wrapText="1"/>
    </x:xf>
    <x:xf numFmtId="0" fontId="6" fillId="2" borderId="0" xfId="0" applyNumberFormat="1" applyFont="1" applyFill="1" applyBorder="1"/>
    <x:xf numFmtId="0" fontId="6"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7" borderId="0" xfId="0" applyNumberFormat="1" applyFont="1" applyFill="1" applyBorder="1"/>
    <x:xf numFmtId="0" fontId="0" fillId="7" borderId="1"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0" xfId="0" applyNumberFormat="1" applyFont="1" applyFill="1" applyBorder="1" applyAlignment="1">
      <x:alignment wrapText="1"/>
    </x:xf>
    <x:xf numFmtId="0" fontId="3" fillId="7" borderId="1" xfId="0" applyNumberFormat="1" applyFont="1" applyFill="1" applyBorder="1" applyAlignment="1">
      <x:alignment wrapText="1"/>
    </x:xf>
    <x:xf numFmtId="0" fontId="3" fillId="7" borderId="0"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7" fillId="0" borderId="0" xfId="0" applyNumberFormat="1" applyFont="1" applyFill="1" applyBorder="1"/>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14" xfId="0" applyNumberFormat="1" applyFont="1" applyFill="1" applyBorder="1"/>
    <x:xf numFmtId="0" fontId="7" fillId="0" borderId="15" xfId="0" applyNumberFormat="1" applyFont="1" applyFill="1" applyBorder="1"/>
    <x:xf numFmtId="0" fontId="7" fillId="0" borderId="16" xfId="0" applyNumberFormat="1" applyFont="1" applyFill="1" applyBorder="1"/>
    <x:xf numFmtId="0" fontId="7" fillId="0" borderId="17"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22" xfId="0" applyNumberFormat="1" applyFont="1" applyFill="1" applyBorder="1"/>
    <x:xf numFmtId="0" fontId="7" fillId="0" borderId="23" xfId="0" applyNumberFormat="1" applyFont="1" applyFill="1" applyBorder="1"/>
    <x:xf numFmtId="0" fontId="7" fillId="0" borderId="24" xfId="0" applyNumberFormat="1" applyFont="1" applyFill="1" applyBorder="1"/>
    <x:xf numFmtId="0" fontId="7" fillId="0" borderId="25"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4" xfId="0" applyNumberFormat="1" applyFont="1" applyFill="1" applyBorder="1" applyAlignment="1">
      <x:alignment wrapText="1"/>
    </x:xf>
    <x:xf numFmtId="0" fontId="7" fillId="0" borderId="15" xfId="0" applyNumberFormat="1" applyFont="1" applyFill="1" applyBorder="1" applyAlignment="1">
      <x:alignment wrapText="1"/>
    </x:xf>
    <x:xf numFmtId="0" fontId="7" fillId="0" borderId="16" xfId="0" applyNumberFormat="1" applyFont="1" applyFill="1" applyBorder="1" applyAlignment="1">
      <x:alignment wrapText="1"/>
    </x:xf>
    <x:xf numFmtId="0" fontId="7" fillId="0" borderId="17"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22" xfId="0" applyNumberFormat="1" applyFont="1" applyFill="1" applyBorder="1" applyAlignment="1">
      <x:alignment wrapText="1"/>
    </x:xf>
    <x:xf numFmtId="0" fontId="7" fillId="0" borderId="23" xfId="0" applyNumberFormat="1" applyFont="1" applyFill="1" applyBorder="1" applyAlignment="1">
      <x:alignment wrapText="1"/>
    </x:xf>
    <x:xf numFmtId="0" fontId="7" fillId="0" borderId="24" xfId="0" applyNumberFormat="1" applyFont="1" applyFill="1" applyBorder="1" applyAlignment="1">
      <x:alignment wrapText="1"/>
    </x:xf>
    <x:xf numFmtId="0" fontId="7" fillId="0" borderId="25"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0" borderId="16"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22" xfId="0" applyNumberFormat="1" applyFont="1" applyFill="1" applyBorder="1" applyAlignment="1">
      <x:alignment vertical="top" wrapText="1"/>
    </x:xf>
    <x:xf numFmtId="0" fontId="7" fillId="0" borderId="23" xfId="0" applyNumberFormat="1" applyFont="1" applyFill="1" applyBorder="1" applyAlignment="1">
      <x:alignment vertical="top" wrapText="1"/>
    </x:xf>
    <x:xf numFmtId="0" fontId="7" fillId="0" borderId="24" xfId="0" applyNumberFormat="1" applyFont="1" applyFill="1" applyBorder="1" applyAlignment="1">
      <x:alignment vertical="top" wrapText="1"/>
    </x:xf>
    <x:xf numFmtId="0" fontId="7" fillId="0" borderId="25" xfId="0" applyNumberFormat="1" applyFont="1" applyFill="1" applyBorder="1" applyAlignment="1">
      <x:alignment vertical="top" wrapText="1"/>
    </x:xf>
    <x:xf numFmtId="0" fontId="7" fillId="2" borderId="8" xfId="0" applyNumberFormat="1" applyFont="1" applyFill="1" applyBorder="1" applyAlignment="1">
      <x:alignment vertical="top" wrapText="1"/>
    </x:xf>
    <x:xf numFmtId="0" fontId="7" fillId="2" borderId="9" xfId="0" applyNumberFormat="1" applyFont="1" applyFill="1" applyBorder="1" applyAlignment="1">
      <x:alignment vertical="top" wrapText="1"/>
    </x:xf>
    <x:xf numFmtId="0" fontId="7" fillId="2" borderId="10" xfId="0" applyNumberFormat="1" applyFont="1" applyFill="1" applyBorder="1" applyAlignment="1">
      <x:alignment vertical="top" wrapText="1"/>
    </x:xf>
    <x:xf numFmtId="0" fontId="7" fillId="2" borderId="17" xfId="0" applyNumberFormat="1" applyFont="1" applyFill="1" applyBorder="1" applyAlignment="1">
      <x:alignment vertical="top" wrapText="1"/>
    </x:xf>
    <x:xf numFmtId="0" fontId="7" fillId="2" borderId="18" xfId="0" applyNumberFormat="1" applyFont="1" applyFill="1" applyBorder="1" applyAlignment="1">
      <x:alignment vertical="top" wrapText="1"/>
    </x:xf>
    <x:xf numFmtId="0" fontId="7" fillId="2" borderId="19" xfId="0" applyNumberFormat="1" applyFont="1" applyFill="1" applyBorder="1" applyAlignment="1">
      <x:alignment vertical="top" wrapText="1"/>
    </x:xf>
    <x:xf numFmtId="0" fontId="8" fillId="2" borderId="8" xfId="0" applyNumberFormat="1" applyFont="1" applyFill="1" applyBorder="1" applyAlignment="1">
      <x:alignment vertical="top" wrapText="1"/>
    </x:xf>
    <x:xf numFmtId="0" fontId="8" fillId="2" borderId="9" xfId="0" applyNumberFormat="1" applyFont="1" applyFill="1" applyBorder="1" applyAlignment="1">
      <x:alignment vertical="top" wrapText="1"/>
    </x:xf>
    <x:xf numFmtId="0" fontId="8" fillId="2" borderId="10" xfId="0" applyNumberFormat="1" applyFont="1" applyFill="1" applyBorder="1" applyAlignment="1">
      <x:alignment vertical="top" wrapText="1"/>
    </x:xf>
    <x:xf numFmtId="0" fontId="8" fillId="2" borderId="17" xfId="0" applyNumberFormat="1" applyFont="1" applyFill="1" applyBorder="1" applyAlignment="1">
      <x:alignment vertical="top" wrapText="1"/>
    </x:xf>
    <x:xf numFmtId="0" fontId="8" fillId="2" borderId="18" xfId="0" applyNumberFormat="1" applyFont="1" applyFill="1" applyBorder="1" applyAlignment="1">
      <x:alignment vertical="top" wrapText="1"/>
    </x:xf>
    <x:xf numFmtId="0" fontId="8" fillId="2" borderId="19" xfId="0" applyNumberFormat="1" applyFont="1" applyFill="1" applyBorder="1" applyAlignment="1">
      <x:alignment vertical="top" wrapText="1"/>
    </x:xf>
    <x:xf numFmtId="0" fontId="8" fillId="2" borderId="8" xfId="0" applyNumberFormat="1" applyFont="1" applyFill="1" applyBorder="1" applyAlignment="1">
      <x:alignment vertical="center" wrapText="1"/>
    </x:xf>
    <x:xf numFmtId="0" fontId="8" fillId="2" borderId="9" xfId="0" applyNumberFormat="1" applyFont="1" applyFill="1" applyBorder="1" applyAlignment="1">
      <x:alignment vertical="center" wrapText="1"/>
    </x:xf>
    <x:xf numFmtId="0" fontId="8" fillId="2" borderId="10" xfId="0" applyNumberFormat="1" applyFont="1" applyFill="1" applyBorder="1" applyAlignment="1">
      <x:alignment vertical="center" wrapText="1"/>
    </x:xf>
    <x:xf numFmtId="0" fontId="8" fillId="2" borderId="17" xfId="0" applyNumberFormat="1" applyFont="1" applyFill="1" applyBorder="1" applyAlignment="1">
      <x:alignment vertical="center" wrapText="1"/>
    </x:xf>
    <x:xf numFmtId="0" fontId="8" fillId="2" borderId="18" xfId="0" applyNumberFormat="1" applyFont="1" applyFill="1" applyBorder="1" applyAlignment="1">
      <x:alignment vertical="center" wrapText="1"/>
    </x:xf>
    <x:xf numFmtId="0" fontId="8" fillId="2" borderId="19" xfId="0" applyNumberFormat="1" applyFont="1" applyFill="1" applyBorder="1" applyAlignment="1">
      <x:alignment vertical="center" wrapText="1"/>
    </x:xf>
  </x:cellXfs>
  <x:cellStyles count="1">
    <x:cellStyle name="Normal" xfId="0"/>
  </x:cellStyles>
  <x:dxfs count="3">
    <x:dxf>
      <x:font>
        <x:b/>
        <x:color rgb="FF8B2E2E"/>
      </x:font>
      <x:fill>
        <x:patternFill patternType="solid">
          <x:bgColor rgb="FFF7D6D6"/>
        </x:patternFill>
      </x:fill>
    </x:dxf>
    <x:dxf>
      <x:font>
        <x:b/>
        <x:color rgb="FF7F6000"/>
      </x:font>
      <x:fill>
        <x:patternFill patternType="solid">
          <x:bgColor rgb="FFFFF2CC"/>
        </x:patternFill>
      </x:fill>
    </x:dxf>
    <x:dxf>
      <x:font>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fe77fe096244c6" /><Relationship Type="http://schemas.openxmlformats.org/officeDocument/2006/relationships/theme" Target="/xl/theme/theme1.xml" Id="R2ca6723c9f4d4368" /><Relationship Type="http://schemas.openxmlformats.org/officeDocument/2006/relationships/sharedStrings" Target="/xl/sharedStrings.xml" Id="R96278727849d4d3e" /><Relationship Type="http://schemas.openxmlformats.org/officeDocument/2006/relationships/worksheet" Target="/xl/worksheets/sheet1.xml" Id="R97240c0cd6b94e2a" /><Relationship Type="http://schemas.openxmlformats.org/officeDocument/2006/relationships/worksheet" Target="/xl/worksheets/sheet2.xml" Id="R6d29bc4525a3441c" /><Relationship Type="http://schemas.openxmlformats.org/officeDocument/2006/relationships/worksheet" Target="/xl/worksheets/sheet3.xml" Id="Rc8bae182fdad450e" /><Relationship Type="http://schemas.openxmlformats.org/officeDocument/2006/relationships/worksheet" Target="/xl/worksheets/sheet4.xml" Id="R0f7270955597479e" /><Relationship Type="http://schemas.openxmlformats.org/officeDocument/2006/relationships/worksheet" Target="/xl/worksheets/sheet5.xml" Id="Rdf4d80714d594954" /><Relationship Type="http://schemas.openxmlformats.org/officeDocument/2006/relationships/worksheet" Target="/xl/worksheets/sheet6.xml" Id="R213c652d03c6475d" /></Relationships>
</file>

<file path=xl/tables/table1.xml><?xml version="1.0" encoding="utf-8"?>
<x:table xmlns:x="http://schemas.openxmlformats.org/spreadsheetml/2006/main" id="1" name="AERA12ReviewComments" displayName="AERA12ReviewComments" ref="A4:T104" headerRowCount="1" totalsRowCount="0" totalsRowShown="0">
  <x:tableColumns count="20">
    <x:tableColumn id="1" name="Comment ID"/>
    <x:tableColumn id="2" name="Submitted"/>
    <x:tableColumn id="3" name="Submitter"/>
    <x:tableColumn id="4" name="Organization / affiliation"/>
    <x:tableColumn id="5" name="Section"/>
    <x:tableColumn id="6" name="Page"/>
    <x:tableColumn id="7" name="Requirement / threat ID"/>
    <x:tableColumn id="8" name="Category"/>
    <x:tableColumn id="9" name="Severity"/>
    <x:tableColumn id="10" name="Comment"/>
    <x:tableColumn id="11" name="Proposed change"/>
    <x:tableColumn id="12" name="Evidence / source"/>
    <x:tableColumn id="13" name="Conflict of interest"/>
    <x:tableColumn id="14" name="Status"/>
    <x:tableColumn id="15" name="Disposition"/>
    <x:tableColumn id="16" name="Disposition rationale"/>
    <x:tableColumn id="17" name="Owner"/>
    <x:tableColumn id="18" name="Target edition"/>
    <x:tableColumn id="19" name="Decision date"/>
    <x:tableColumn id="20" name="Verification"/>
  </x:tableColumns>
  <x:tableStyleInfo name="TableStyleMedium2" showFirstColumn="0" showLastColumn="0" showRowStripes="1" showColumnStripes="0"/>
</x:table>
</file>

<file path=xl/tables/table2.xml><?xml version="1.0" encoding="utf-8"?>
<x:table xmlns:x="http://schemas.openxmlformats.org/spreadsheetml/2006/main" id="2" name="AERA12ReqSnapshot" displayName="AERA12ReqSnapshot" ref="A1:P200" headerRowCount="1" totalsRowCount="0" totalsRowShown="0">
  <x:autoFilter ref="A1:P200"/>
  <x:tableColumns count="16">
    <x:tableColumn id="1" name="﻿ID"/>
    <x:tableColumn id="2" name="Family"/>
    <x:tableColumn id="3" name="Normative Text"/>
    <x:tableColumn id="4" name="Primary verification method"/>
    <x:tableColumn id="5" name="Lifecycle status"/>
    <x:tableColumn id="6" name="Introduced in"/>
    <x:tableColumn id="7" name="Changed in"/>
    <x:tableColumn id="8" name="Parent ID"/>
    <x:tableColumn id="9" name="Refines"/>
    <x:tableColumn id="10" name="Supersedes"/>
    <x:tableColumn id="11" name="Superseded by"/>
    <x:tableColumn id="12" name="Semantic delta"/>
    <x:tableColumn id="13" name="Default applicability"/>
    <x:tableColumn id="14" name="Edition"/>
    <x:tableColumn id="15" name="Build ID"/>
    <x:tableColumn id="16" name="Canonical source"/>
  </x:tableColumns>
  <x:tableStyleInfo name="TableStyleMedium2" showFirstColumn="0" showLastColumn="0" showRowStripes="1" showColumnStripes="0"/>
</x:table>
</file>

<file path=xl/tables/table3.xml><?xml version="1.0" encoding="utf-8"?>
<x:table xmlns:x="http://schemas.openxmlformats.org/spreadsheetml/2006/main" id="3" name="AERA12ThreatSnapshot" displayName="AERA12ThreatSnapshot" ref="A1:F26" headerRowCount="1" totalsRowCount="0" totalsRowShown="0">
  <x:autoFilter ref="A1:F26"/>
  <x:tableColumns count="6">
    <x:tableColumn id="1" name="﻿Threat ID"/>
    <x:tableColumn id="2" name="Threat"/>
    <x:tableColumn id="3" name="Primary AERA requirements"/>
    <x:tableColumn id="4" name="Prevention / detection / containment / recovery focus"/>
    <x:tableColumn id="5" name="Representative negative test"/>
    <x:tableColumn id="6" name="Expected evidence"/>
  </x:tableColumns>
  <x:tableStyleInfo name="TableStyleMedium2" showFirstColumn="0" showLastColumn="0" showRowStripes="1" showColumnStripes="0"/>
</x:table>
</file>

<file path=xl/tables/table4.xml><?xml version="1.0" encoding="utf-8"?>
<x:table xmlns:x="http://schemas.openxmlformats.org/spreadsheetml/2006/main" id="4" name="AERA12SourceSnapshot" displayName="AERA12SourceSnapshot" ref="A1:G70" headerRowCount="1" totalsRowCount="0" totalsRowShown="0">
  <x:autoFilter ref="A1:G70"/>
  <x:tableColumns count="7">
    <x:tableColumn id="1" name="﻿Reference"/>
    <x:tableColumn id="2" name="Source"/>
    <x:tableColumn id="3" name="Status and version/date"/>
    <x:tableColumn id="4" name="Accessed"/>
    <x:tableColumn id="5" name="Official URL or DOI"/>
    <x:tableColumn id="6" name="Mapping direction"/>
    <x:tableColumn id="7" name="Required cave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aa6c1695eb4dbd" /></Relationships>
</file>

<file path=xl/worksheets/_rels/sheet4.xml.rels>&#65279;<?xml version="1.0" encoding="utf-8"?><Relationships xmlns="http://schemas.openxmlformats.org/package/2006/relationships"><Relationship Type="http://schemas.openxmlformats.org/officeDocument/2006/relationships/table" Target="/xl/tables/table2.xml" Id="R7d9b9f93374c499c" /></Relationships>
</file>

<file path=xl/worksheets/_rels/sheet5.xml.rels>&#65279;<?xml version="1.0" encoding="utf-8"?><Relationships xmlns="http://schemas.openxmlformats.org/package/2006/relationships"><Relationship Type="http://schemas.openxmlformats.org/officeDocument/2006/relationships/table" Target="/xl/tables/table3.xml" Id="R77cbeba5ef6543e4" /></Relationships>
</file>

<file path=xl/worksheets/_rels/sheet6.xml.rels>&#65279;<?xml version="1.0" encoding="utf-8"?><Relationships xmlns="http://schemas.openxmlformats.org/package/2006/relationships"><Relationship Type="http://schemas.openxmlformats.org/officeDocument/2006/relationships/table" Target="/xl/tables/table4.xml" Id="R7e76622fb5e54d6a" /></Relationships>
</file>

<file path=xl/worksheets/sheet1.xml><?xml version="1.0" encoding="utf-8"?>
<x:worksheet xmlns:x="http://schemas.openxmlformats.org/spreadsheetml/2006/main">
  <x:sheetFormatPr defaultRowHeight="15"/>
  <x:cols>
    <x:col min="1" max="1" width="15" hidden="0" customWidth="1"/>
    <x:col min="2" max="2" width="14" hidden="0" customWidth="1"/>
    <x:col min="3" max="3" width="22" hidden="0" customWidth="1"/>
    <x:col min="4" max="4" width="28" hidden="0" customWidth="1"/>
    <x:col min="5" max="5" width="18" hidden="0" customWidth="1"/>
    <x:col min="6" max="6" width="9" hidden="0" customWidth="1"/>
    <x:col min="7" max="7" width="24" hidden="0" customWidth="1"/>
    <x:col min="8" max="8" width="18" hidden="0" customWidth="1"/>
    <x:col min="9" max="9" width="14" hidden="0" customWidth="1"/>
    <x:col min="10" max="10" width="58" hidden="0" customWidth="1"/>
    <x:col min="11" max="11" width="58" hidden="0" customWidth="1"/>
    <x:col min="12" max="12" width="42" hidden="0" customWidth="1"/>
    <x:col min="13" max="13" width="24" hidden="0" customWidth="1"/>
    <x:col min="14" max="14" width="24" hidden="0" customWidth="1"/>
    <x:col min="15" max="15" width="30" hidden="0" customWidth="1"/>
    <x:col min="16" max="16" width="58" hidden="0" customWidth="1"/>
    <x:col min="17" max="17" width="22" hidden="0" customWidth="1"/>
    <x:col min="18" max="18" width="18" hidden="0" customWidth="1"/>
    <x:col min="19" max="19" width="16" hidden="0" customWidth="1"/>
    <x:col min="20" max="20" width="18" hidden="0" customWidth="1"/>
  </x:cols>
  <x:sheetData>
    <x:row r="1" ht="32" customHeight="1">
      <x:c r="A1" s="32" t="str">
        <x:v>AERA 1.2 WD Developmental Review Comments</x:v>
      </x:c>
      <x:c r="B1" s="32"/>
      <x:c r="C1" s="32"/>
      <x:c r="D1" s="32"/>
      <x:c r="E1" s="32"/>
      <x:c r="F1" s="32"/>
      <x:c r="G1" s="32"/>
      <x:c r="H1" s="32"/>
      <x:c r="I1" s="32"/>
      <x:c r="J1" s="32"/>
      <x:c r="K1" s="32"/>
      <x:c r="L1" s="32"/>
      <x:c r="M1" s="32"/>
      <x:c r="N1" s="32"/>
      <x:c r="O1" s="32"/>
      <x:c r="P1" s="32"/>
      <x:c r="Q1" s="32"/>
      <x:c r="R1" s="32"/>
      <x:c r="S1" s="32"/>
      <x:c r="T1" s="32"/>
    </x:row>
    <x:row r="2" ht="28" customHeight="1">
      <x:c r="A2" s="28" t="str">
        <x:v>Use one row per atomic issue. Record IDs are preallocated and immutable after use; preserve dissent and evidence even when a proposal is rejected.</x:v>
      </x:c>
      <x:c r="B2" s="28"/>
      <x:c r="C2" s="28"/>
      <x:c r="D2" s="28"/>
      <x:c r="E2" s="28"/>
      <x:c r="F2" s="28"/>
      <x:c r="G2" s="28"/>
      <x:c r="H2" s="28"/>
      <x:c r="I2" s="28"/>
      <x:c r="J2" s="28"/>
      <x:c r="K2" s="28"/>
      <x:c r="L2" s="28"/>
      <x:c r="M2" s="28"/>
      <x:c r="N2" s="28"/>
      <x:c r="O2" s="28"/>
      <x:c r="P2" s="28"/>
      <x:c r="Q2" s="28"/>
      <x:c r="R2" s="28"/>
      <x:c r="S2" s="28"/>
      <x:c r="T2" s="28"/>
    </x:row>
    <x:row r="4" ht="30" customHeight="1">
      <x:c r="A4" s="36" t="str">
        <x:v>Comment ID</x:v>
      </x:c>
      <x:c r="B4" s="36" t="str">
        <x:v>Submitted</x:v>
      </x:c>
      <x:c r="C4" s="36" t="str">
        <x:v>Submitter</x:v>
      </x:c>
      <x:c r="D4" s="36" t="str">
        <x:v>Organization / affiliation</x:v>
      </x:c>
      <x:c r="E4" s="36" t="str">
        <x:v>Section</x:v>
      </x:c>
      <x:c r="F4" s="36" t="str">
        <x:v>Page</x:v>
      </x:c>
      <x:c r="G4" s="36" t="str">
        <x:v>Requirement / threat ID</x:v>
      </x:c>
      <x:c r="H4" s="36" t="str">
        <x:v>Category</x:v>
      </x:c>
      <x:c r="I4" s="36" t="str">
        <x:v>Severity</x:v>
      </x:c>
      <x:c r="J4" s="36" t="str">
        <x:v>Comment</x:v>
      </x:c>
      <x:c r="K4" s="36" t="str">
        <x:v>Proposed change</x:v>
      </x:c>
      <x:c r="L4" s="36" t="str">
        <x:v>Evidence / source</x:v>
      </x:c>
      <x:c r="M4" s="36" t="str">
        <x:v>Conflict of interest</x:v>
      </x:c>
      <x:c r="N4" s="36" t="str">
        <x:v>Status</x:v>
      </x:c>
      <x:c r="O4" s="36" t="str">
        <x:v>Disposition</x:v>
      </x:c>
      <x:c r="P4" s="36" t="str">
        <x:v>Disposition rationale</x:v>
      </x:c>
      <x:c r="Q4" s="36" t="str">
        <x:v>Owner</x:v>
      </x:c>
      <x:c r="R4" s="36" t="str">
        <x:v>Target edition</x:v>
      </x:c>
      <x:c r="S4" s="36" t="str">
        <x:v>Decision date</x:v>
      </x:c>
      <x:c r="T4" s="36" t="str">
        <x:v>Verification</x:v>
      </x:c>
    </x:row>
    <x:row r="5" ht="50" customHeight="1">
      <x:c r="A5" s="42" t="str">
        <x:v>AERA-CR-0001</x:v>
      </x:c>
      <x:c r="B5" s="42"/>
      <x:c r="C5" s="42"/>
      <x:c r="D5" s="42"/>
      <x:c r="E5" s="42"/>
      <x:c r="F5" s="42"/>
      <x:c r="G5" s="42"/>
      <x:c r="H5" s="42"/>
      <x:c r="I5" s="42"/>
      <x:c r="J5" s="42"/>
      <x:c r="K5" s="42"/>
      <x:c r="L5" s="42"/>
      <x:c r="M5" s="42"/>
      <x:c r="N5" s="42"/>
      <x:c r="O5" s="42"/>
      <x:c r="P5" s="42"/>
      <x:c r="Q5" s="42"/>
      <x:c r="R5" s="42"/>
      <x:c r="S5" s="42"/>
      <x:c r="T5" s="42"/>
    </x:row>
    <x:row r="6" ht="50" customHeight="1">
      <x:c r="A6" s="43" t="str">
        <x:v>AERA-CR-0002</x:v>
      </x:c>
      <x:c r="B6" s="43"/>
      <x:c r="C6" s="43"/>
      <x:c r="D6" s="43"/>
      <x:c r="E6" s="43"/>
      <x:c r="F6" s="43"/>
      <x:c r="G6" s="43"/>
      <x:c r="H6" s="43"/>
      <x:c r="I6" s="43"/>
      <x:c r="J6" s="43"/>
      <x:c r="K6" s="43"/>
      <x:c r="L6" s="43"/>
      <x:c r="M6" s="43"/>
      <x:c r="N6" s="43"/>
      <x:c r="O6" s="43"/>
      <x:c r="P6" s="43"/>
      <x:c r="Q6" s="43"/>
      <x:c r="R6" s="43"/>
      <x:c r="S6" s="43"/>
      <x:c r="T6" s="43"/>
    </x:row>
    <x:row r="7" ht="50" customHeight="1">
      <x:c r="A7" s="43" t="str">
        <x:v>AERA-CR-0003</x:v>
      </x:c>
      <x:c r="B7" s="43"/>
      <x:c r="C7" s="43"/>
      <x:c r="D7" s="43"/>
      <x:c r="E7" s="43"/>
      <x:c r="F7" s="43"/>
      <x:c r="G7" s="43"/>
      <x:c r="H7" s="43"/>
      <x:c r="I7" s="43"/>
      <x:c r="J7" s="43"/>
      <x:c r="K7" s="43"/>
      <x:c r="L7" s="43"/>
      <x:c r="M7" s="43"/>
      <x:c r="N7" s="43"/>
      <x:c r="O7" s="43"/>
      <x:c r="P7" s="43"/>
      <x:c r="Q7" s="43"/>
      <x:c r="R7" s="43"/>
      <x:c r="S7" s="43"/>
      <x:c r="T7" s="43"/>
    </x:row>
    <x:row r="8" ht="50" customHeight="1">
      <x:c r="A8" s="43" t="str">
        <x:v>AERA-CR-0004</x:v>
      </x:c>
      <x:c r="B8" s="43"/>
      <x:c r="C8" s="43"/>
      <x:c r="D8" s="43"/>
      <x:c r="E8" s="43"/>
      <x:c r="F8" s="43"/>
      <x:c r="G8" s="43"/>
      <x:c r="H8" s="43"/>
      <x:c r="I8" s="43"/>
      <x:c r="J8" s="43"/>
      <x:c r="K8" s="43"/>
      <x:c r="L8" s="43"/>
      <x:c r="M8" s="43"/>
      <x:c r="N8" s="43"/>
      <x:c r="O8" s="43"/>
      <x:c r="P8" s="43"/>
      <x:c r="Q8" s="43"/>
      <x:c r="R8" s="43"/>
      <x:c r="S8" s="43"/>
      <x:c r="T8" s="43"/>
    </x:row>
    <x:row r="9" ht="50" customHeight="1">
      <x:c r="A9" s="43" t="str">
        <x:v>AERA-CR-0005</x:v>
      </x:c>
      <x:c r="B9" s="43"/>
      <x:c r="C9" s="43"/>
      <x:c r="D9" s="43"/>
      <x:c r="E9" s="43"/>
      <x:c r="F9" s="43"/>
      <x:c r="G9" s="43"/>
      <x:c r="H9" s="43"/>
      <x:c r="I9" s="43"/>
      <x:c r="J9" s="43"/>
      <x:c r="K9" s="43"/>
      <x:c r="L9" s="43"/>
      <x:c r="M9" s="43"/>
      <x:c r="N9" s="43"/>
      <x:c r="O9" s="43"/>
      <x:c r="P9" s="43"/>
      <x:c r="Q9" s="43"/>
      <x:c r="R9" s="43"/>
      <x:c r="S9" s="43"/>
      <x:c r="T9" s="43"/>
    </x:row>
    <x:row r="10" ht="50" customHeight="1">
      <x:c r="A10" s="43" t="str">
        <x:v>AERA-CR-0006</x:v>
      </x:c>
      <x:c r="B10" s="43"/>
      <x:c r="C10" s="43"/>
      <x:c r="D10" s="43"/>
      <x:c r="E10" s="43"/>
      <x:c r="F10" s="43"/>
      <x:c r="G10" s="43"/>
      <x:c r="H10" s="43"/>
      <x:c r="I10" s="43"/>
      <x:c r="J10" s="43"/>
      <x:c r="K10" s="43"/>
      <x:c r="L10" s="43"/>
      <x:c r="M10" s="43"/>
      <x:c r="N10" s="43"/>
      <x:c r="O10" s="43"/>
      <x:c r="P10" s="43"/>
      <x:c r="Q10" s="43"/>
      <x:c r="R10" s="43"/>
      <x:c r="S10" s="43"/>
      <x:c r="T10" s="43"/>
    </x:row>
    <x:row r="11" ht="50" customHeight="1">
      <x:c r="A11" s="43" t="str">
        <x:v>AERA-CR-0007</x:v>
      </x:c>
      <x:c r="B11" s="43"/>
      <x:c r="C11" s="43"/>
      <x:c r="D11" s="43"/>
      <x:c r="E11" s="43"/>
      <x:c r="F11" s="43"/>
      <x:c r="G11" s="43"/>
      <x:c r="H11" s="43"/>
      <x:c r="I11" s="43"/>
      <x:c r="J11" s="43"/>
      <x:c r="K11" s="43"/>
      <x:c r="L11" s="43"/>
      <x:c r="M11" s="43"/>
      <x:c r="N11" s="43"/>
      <x:c r="O11" s="43"/>
      <x:c r="P11" s="43"/>
      <x:c r="Q11" s="43"/>
      <x:c r="R11" s="43"/>
      <x:c r="S11" s="43"/>
      <x:c r="T11" s="43"/>
    </x:row>
    <x:row r="12" ht="50" customHeight="1">
      <x:c r="A12" s="43" t="str">
        <x:v>AERA-CR-0008</x:v>
      </x:c>
      <x:c r="B12" s="43"/>
      <x:c r="C12" s="43"/>
      <x:c r="D12" s="43"/>
      <x:c r="E12" s="43"/>
      <x:c r="F12" s="43"/>
      <x:c r="G12" s="43"/>
      <x:c r="H12" s="43"/>
      <x:c r="I12" s="43"/>
      <x:c r="J12" s="43"/>
      <x:c r="K12" s="43"/>
      <x:c r="L12" s="43"/>
      <x:c r="M12" s="43"/>
      <x:c r="N12" s="43"/>
      <x:c r="O12" s="43"/>
      <x:c r="P12" s="43"/>
      <x:c r="Q12" s="43"/>
      <x:c r="R12" s="43"/>
      <x:c r="S12" s="43"/>
      <x:c r="T12" s="43"/>
    </x:row>
    <x:row r="13" ht="50" customHeight="1">
      <x:c r="A13" s="43" t="str">
        <x:v>AERA-CR-0009</x:v>
      </x:c>
      <x:c r="B13" s="43"/>
      <x:c r="C13" s="43"/>
      <x:c r="D13" s="43"/>
      <x:c r="E13" s="43"/>
      <x:c r="F13" s="43"/>
      <x:c r="G13" s="43"/>
      <x:c r="H13" s="43"/>
      <x:c r="I13" s="43"/>
      <x:c r="J13" s="43"/>
      <x:c r="K13" s="43"/>
      <x:c r="L13" s="43"/>
      <x:c r="M13" s="43"/>
      <x:c r="N13" s="43"/>
      <x:c r="O13" s="43"/>
      <x:c r="P13" s="43"/>
      <x:c r="Q13" s="43"/>
      <x:c r="R13" s="43"/>
      <x:c r="S13" s="43"/>
      <x:c r="T13" s="43"/>
    </x:row>
    <x:row r="14" ht="50" customHeight="1">
      <x:c r="A14" s="43" t="str">
        <x:v>AERA-CR-0010</x:v>
      </x:c>
      <x:c r="B14" s="43"/>
      <x:c r="C14" s="43"/>
      <x:c r="D14" s="43"/>
      <x:c r="E14" s="43"/>
      <x:c r="F14" s="43"/>
      <x:c r="G14" s="43"/>
      <x:c r="H14" s="43"/>
      <x:c r="I14" s="43"/>
      <x:c r="J14" s="43"/>
      <x:c r="K14" s="43"/>
      <x:c r="L14" s="43"/>
      <x:c r="M14" s="43"/>
      <x:c r="N14" s="43"/>
      <x:c r="O14" s="43"/>
      <x:c r="P14" s="43"/>
      <x:c r="Q14" s="43"/>
      <x:c r="R14" s="43"/>
      <x:c r="S14" s="43"/>
      <x:c r="T14" s="43"/>
    </x:row>
    <x:row r="15" ht="50" customHeight="1">
      <x:c r="A15" s="43" t="str">
        <x:v>AERA-CR-0011</x:v>
      </x:c>
      <x:c r="B15" s="43"/>
      <x:c r="C15" s="43"/>
      <x:c r="D15" s="43"/>
      <x:c r="E15" s="43"/>
      <x:c r="F15" s="43"/>
      <x:c r="G15" s="43"/>
      <x:c r="H15" s="43"/>
      <x:c r="I15" s="43"/>
      <x:c r="J15" s="43"/>
      <x:c r="K15" s="43"/>
      <x:c r="L15" s="43"/>
      <x:c r="M15" s="43"/>
      <x:c r="N15" s="43"/>
      <x:c r="O15" s="43"/>
      <x:c r="P15" s="43"/>
      <x:c r="Q15" s="43"/>
      <x:c r="R15" s="43"/>
      <x:c r="S15" s="43"/>
      <x:c r="T15" s="43"/>
    </x:row>
    <x:row r="16" ht="50" customHeight="1">
      <x:c r="A16" s="43" t="str">
        <x:v>AERA-CR-0012</x:v>
      </x:c>
      <x:c r="B16" s="43"/>
      <x:c r="C16" s="43"/>
      <x:c r="D16" s="43"/>
      <x:c r="E16" s="43"/>
      <x:c r="F16" s="43"/>
      <x:c r="G16" s="43"/>
      <x:c r="H16" s="43"/>
      <x:c r="I16" s="43"/>
      <x:c r="J16" s="43"/>
      <x:c r="K16" s="43"/>
      <x:c r="L16" s="43"/>
      <x:c r="M16" s="43"/>
      <x:c r="N16" s="43"/>
      <x:c r="O16" s="43"/>
      <x:c r="P16" s="43"/>
      <x:c r="Q16" s="43"/>
      <x:c r="R16" s="43"/>
      <x:c r="S16" s="43"/>
      <x:c r="T16" s="43"/>
    </x:row>
    <x:row r="17" ht="50" customHeight="1">
      <x:c r="A17" s="43" t="str">
        <x:v>AERA-CR-0013</x:v>
      </x:c>
      <x:c r="B17" s="43"/>
      <x:c r="C17" s="43"/>
      <x:c r="D17" s="43"/>
      <x:c r="E17" s="43"/>
      <x:c r="F17" s="43"/>
      <x:c r="G17" s="43"/>
      <x:c r="H17" s="43"/>
      <x:c r="I17" s="43"/>
      <x:c r="J17" s="43"/>
      <x:c r="K17" s="43"/>
      <x:c r="L17" s="43"/>
      <x:c r="M17" s="43"/>
      <x:c r="N17" s="43"/>
      <x:c r="O17" s="43"/>
      <x:c r="P17" s="43"/>
      <x:c r="Q17" s="43"/>
      <x:c r="R17" s="43"/>
      <x:c r="S17" s="43"/>
      <x:c r="T17" s="43"/>
    </x:row>
    <x:row r="18" ht="50" customHeight="1">
      <x:c r="A18" s="43" t="str">
        <x:v>AERA-CR-0014</x:v>
      </x:c>
      <x:c r="B18" s="43"/>
      <x:c r="C18" s="43"/>
      <x:c r="D18" s="43"/>
      <x:c r="E18" s="43"/>
      <x:c r="F18" s="43"/>
      <x:c r="G18" s="43"/>
      <x:c r="H18" s="43"/>
      <x:c r="I18" s="43"/>
      <x:c r="J18" s="43"/>
      <x:c r="K18" s="43"/>
      <x:c r="L18" s="43"/>
      <x:c r="M18" s="43"/>
      <x:c r="N18" s="43"/>
      <x:c r="O18" s="43"/>
      <x:c r="P18" s="43"/>
      <x:c r="Q18" s="43"/>
      <x:c r="R18" s="43"/>
      <x:c r="S18" s="43"/>
      <x:c r="T18" s="43"/>
    </x:row>
    <x:row r="19" ht="50" customHeight="1">
      <x:c r="A19" s="43" t="str">
        <x:v>AERA-CR-0015</x:v>
      </x:c>
      <x:c r="B19" s="43"/>
      <x:c r="C19" s="43"/>
      <x:c r="D19" s="43"/>
      <x:c r="E19" s="43"/>
      <x:c r="F19" s="43"/>
      <x:c r="G19" s="43"/>
      <x:c r="H19" s="43"/>
      <x:c r="I19" s="43"/>
      <x:c r="J19" s="43"/>
      <x:c r="K19" s="43"/>
      <x:c r="L19" s="43"/>
      <x:c r="M19" s="43"/>
      <x:c r="N19" s="43"/>
      <x:c r="O19" s="43"/>
      <x:c r="P19" s="43"/>
      <x:c r="Q19" s="43"/>
      <x:c r="R19" s="43"/>
      <x:c r="S19" s="43"/>
      <x:c r="T19" s="43"/>
    </x:row>
    <x:row r="20" ht="50" customHeight="1">
      <x:c r="A20" s="43" t="str">
        <x:v>AERA-CR-0016</x:v>
      </x:c>
      <x:c r="B20" s="43"/>
      <x:c r="C20" s="43"/>
      <x:c r="D20" s="43"/>
      <x:c r="E20" s="43"/>
      <x:c r="F20" s="43"/>
      <x:c r="G20" s="43"/>
      <x:c r="H20" s="43"/>
      <x:c r="I20" s="43"/>
      <x:c r="J20" s="43"/>
      <x:c r="K20" s="43"/>
      <x:c r="L20" s="43"/>
      <x:c r="M20" s="43"/>
      <x:c r="N20" s="43"/>
      <x:c r="O20" s="43"/>
      <x:c r="P20" s="43"/>
      <x:c r="Q20" s="43"/>
      <x:c r="R20" s="43"/>
      <x:c r="S20" s="43"/>
      <x:c r="T20" s="43"/>
    </x:row>
    <x:row r="21" ht="50" customHeight="1">
      <x:c r="A21" s="43" t="str">
        <x:v>AERA-CR-0017</x:v>
      </x:c>
      <x:c r="B21" s="43"/>
      <x:c r="C21" s="43"/>
      <x:c r="D21" s="43"/>
      <x:c r="E21" s="43"/>
      <x:c r="F21" s="43"/>
      <x:c r="G21" s="43"/>
      <x:c r="H21" s="43"/>
      <x:c r="I21" s="43"/>
      <x:c r="J21" s="43"/>
      <x:c r="K21" s="43"/>
      <x:c r="L21" s="43"/>
      <x:c r="M21" s="43"/>
      <x:c r="N21" s="43"/>
      <x:c r="O21" s="43"/>
      <x:c r="P21" s="43"/>
      <x:c r="Q21" s="43"/>
      <x:c r="R21" s="43"/>
      <x:c r="S21" s="43"/>
      <x:c r="T21" s="43"/>
    </x:row>
    <x:row r="22" ht="50" customHeight="1">
      <x:c r="A22" s="43" t="str">
        <x:v>AERA-CR-0018</x:v>
      </x:c>
      <x:c r="B22" s="43"/>
      <x:c r="C22" s="43"/>
      <x:c r="D22" s="43"/>
      <x:c r="E22" s="43"/>
      <x:c r="F22" s="43"/>
      <x:c r="G22" s="43"/>
      <x:c r="H22" s="43"/>
      <x:c r="I22" s="43"/>
      <x:c r="J22" s="43"/>
      <x:c r="K22" s="43"/>
      <x:c r="L22" s="43"/>
      <x:c r="M22" s="43"/>
      <x:c r="N22" s="43"/>
      <x:c r="O22" s="43"/>
      <x:c r="P22" s="43"/>
      <x:c r="Q22" s="43"/>
      <x:c r="R22" s="43"/>
      <x:c r="S22" s="43"/>
      <x:c r="T22" s="43"/>
    </x:row>
    <x:row r="23" ht="50" customHeight="1">
      <x:c r="A23" s="43" t="str">
        <x:v>AERA-CR-0019</x:v>
      </x:c>
      <x:c r="B23" s="43"/>
      <x:c r="C23" s="43"/>
      <x:c r="D23" s="43"/>
      <x:c r="E23" s="43"/>
      <x:c r="F23" s="43"/>
      <x:c r="G23" s="43"/>
      <x:c r="H23" s="43"/>
      <x:c r="I23" s="43"/>
      <x:c r="J23" s="43"/>
      <x:c r="K23" s="43"/>
      <x:c r="L23" s="43"/>
      <x:c r="M23" s="43"/>
      <x:c r="N23" s="43"/>
      <x:c r="O23" s="43"/>
      <x:c r="P23" s="43"/>
      <x:c r="Q23" s="43"/>
      <x:c r="R23" s="43"/>
      <x:c r="S23" s="43"/>
      <x:c r="T23" s="43"/>
    </x:row>
    <x:row r="24" ht="50" customHeight="1">
      <x:c r="A24" s="43" t="str">
        <x:v>AERA-CR-0020</x:v>
      </x:c>
      <x:c r="B24" s="43"/>
      <x:c r="C24" s="43"/>
      <x:c r="D24" s="43"/>
      <x:c r="E24" s="43"/>
      <x:c r="F24" s="43"/>
      <x:c r="G24" s="43"/>
      <x:c r="H24" s="43"/>
      <x:c r="I24" s="43"/>
      <x:c r="J24" s="43"/>
      <x:c r="K24" s="43"/>
      <x:c r="L24" s="43"/>
      <x:c r="M24" s="43"/>
      <x:c r="N24" s="43"/>
      <x:c r="O24" s="43"/>
      <x:c r="P24" s="43"/>
      <x:c r="Q24" s="43"/>
      <x:c r="R24" s="43"/>
      <x:c r="S24" s="43"/>
      <x:c r="T24" s="43"/>
    </x:row>
    <x:row r="25" ht="50" customHeight="1">
      <x:c r="A25" s="43" t="str">
        <x:v>AERA-CR-0021</x:v>
      </x:c>
      <x:c r="B25" s="43"/>
      <x:c r="C25" s="43"/>
      <x:c r="D25" s="43"/>
      <x:c r="E25" s="43"/>
      <x:c r="F25" s="43"/>
      <x:c r="G25" s="43"/>
      <x:c r="H25" s="43"/>
      <x:c r="I25" s="43"/>
      <x:c r="J25" s="43"/>
      <x:c r="K25" s="43"/>
      <x:c r="L25" s="43"/>
      <x:c r="M25" s="43"/>
      <x:c r="N25" s="43"/>
      <x:c r="O25" s="43"/>
      <x:c r="P25" s="43"/>
      <x:c r="Q25" s="43"/>
      <x:c r="R25" s="43"/>
      <x:c r="S25" s="43"/>
      <x:c r="T25" s="43"/>
    </x:row>
    <x:row r="26" ht="50" customHeight="1">
      <x:c r="A26" s="43" t="str">
        <x:v>AERA-CR-0022</x:v>
      </x:c>
      <x:c r="B26" s="43"/>
      <x:c r="C26" s="43"/>
      <x:c r="D26" s="43"/>
      <x:c r="E26" s="43"/>
      <x:c r="F26" s="43"/>
      <x:c r="G26" s="43"/>
      <x:c r="H26" s="43"/>
      <x:c r="I26" s="43"/>
      <x:c r="J26" s="43"/>
      <x:c r="K26" s="43"/>
      <x:c r="L26" s="43"/>
      <x:c r="M26" s="43"/>
      <x:c r="N26" s="43"/>
      <x:c r="O26" s="43"/>
      <x:c r="P26" s="43"/>
      <x:c r="Q26" s="43"/>
      <x:c r="R26" s="43"/>
      <x:c r="S26" s="43"/>
      <x:c r="T26" s="43"/>
    </x:row>
    <x:row r="27" ht="50" customHeight="1">
      <x:c r="A27" s="43" t="str">
        <x:v>AERA-CR-0023</x:v>
      </x:c>
      <x:c r="B27" s="43"/>
      <x:c r="C27" s="43"/>
      <x:c r="D27" s="43"/>
      <x:c r="E27" s="43"/>
      <x:c r="F27" s="43"/>
      <x:c r="G27" s="43"/>
      <x:c r="H27" s="43"/>
      <x:c r="I27" s="43"/>
      <x:c r="J27" s="43"/>
      <x:c r="K27" s="43"/>
      <x:c r="L27" s="43"/>
      <x:c r="M27" s="43"/>
      <x:c r="N27" s="43"/>
      <x:c r="O27" s="43"/>
      <x:c r="P27" s="43"/>
      <x:c r="Q27" s="43"/>
      <x:c r="R27" s="43"/>
      <x:c r="S27" s="43"/>
      <x:c r="T27" s="43"/>
    </x:row>
    <x:row r="28" ht="50" customHeight="1">
      <x:c r="A28" s="43" t="str">
        <x:v>AERA-CR-0024</x:v>
      </x:c>
      <x:c r="B28" s="43"/>
      <x:c r="C28" s="43"/>
      <x:c r="D28" s="43"/>
      <x:c r="E28" s="43"/>
      <x:c r="F28" s="43"/>
      <x:c r="G28" s="43"/>
      <x:c r="H28" s="43"/>
      <x:c r="I28" s="43"/>
      <x:c r="J28" s="43"/>
      <x:c r="K28" s="43"/>
      <x:c r="L28" s="43"/>
      <x:c r="M28" s="43"/>
      <x:c r="N28" s="43"/>
      <x:c r="O28" s="43"/>
      <x:c r="P28" s="43"/>
      <x:c r="Q28" s="43"/>
      <x:c r="R28" s="43"/>
      <x:c r="S28" s="43"/>
      <x:c r="T28" s="43"/>
    </x:row>
    <x:row r="29" ht="50" customHeight="1">
      <x:c r="A29" s="43" t="str">
        <x:v>AERA-CR-0025</x:v>
      </x:c>
      <x:c r="B29" s="43"/>
      <x:c r="C29" s="43"/>
      <x:c r="D29" s="43"/>
      <x:c r="E29" s="43"/>
      <x:c r="F29" s="43"/>
      <x:c r="G29" s="43"/>
      <x:c r="H29" s="43"/>
      <x:c r="I29" s="43"/>
      <x:c r="J29" s="43"/>
      <x:c r="K29" s="43"/>
      <x:c r="L29" s="43"/>
      <x:c r="M29" s="43"/>
      <x:c r="N29" s="43"/>
      <x:c r="O29" s="43"/>
      <x:c r="P29" s="43"/>
      <x:c r="Q29" s="43"/>
      <x:c r="R29" s="43"/>
      <x:c r="S29" s="43"/>
      <x:c r="T29" s="43"/>
    </x:row>
    <x:row r="30" ht="50" customHeight="1">
      <x:c r="A30" s="43" t="str">
        <x:v>AERA-CR-0026</x:v>
      </x:c>
      <x:c r="B30" s="43"/>
      <x:c r="C30" s="43"/>
      <x:c r="D30" s="43"/>
      <x:c r="E30" s="43"/>
      <x:c r="F30" s="43"/>
      <x:c r="G30" s="43"/>
      <x:c r="H30" s="43"/>
      <x:c r="I30" s="43"/>
      <x:c r="J30" s="43"/>
      <x:c r="K30" s="43"/>
      <x:c r="L30" s="43"/>
      <x:c r="M30" s="43"/>
      <x:c r="N30" s="43"/>
      <x:c r="O30" s="43"/>
      <x:c r="P30" s="43"/>
      <x:c r="Q30" s="43"/>
      <x:c r="R30" s="43"/>
      <x:c r="S30" s="43"/>
      <x:c r="T30" s="43"/>
    </x:row>
    <x:row r="31" ht="50" customHeight="1">
      <x:c r="A31" s="43" t="str">
        <x:v>AERA-CR-0027</x:v>
      </x:c>
      <x:c r="B31" s="43"/>
      <x:c r="C31" s="43"/>
      <x:c r="D31" s="43"/>
      <x:c r="E31" s="43"/>
      <x:c r="F31" s="43"/>
      <x:c r="G31" s="43"/>
      <x:c r="H31" s="43"/>
      <x:c r="I31" s="43"/>
      <x:c r="J31" s="43"/>
      <x:c r="K31" s="43"/>
      <x:c r="L31" s="43"/>
      <x:c r="M31" s="43"/>
      <x:c r="N31" s="43"/>
      <x:c r="O31" s="43"/>
      <x:c r="P31" s="43"/>
      <x:c r="Q31" s="43"/>
      <x:c r="R31" s="43"/>
      <x:c r="S31" s="43"/>
      <x:c r="T31" s="43"/>
    </x:row>
    <x:row r="32" ht="50" customHeight="1">
      <x:c r="A32" s="43" t="str">
        <x:v>AERA-CR-0028</x:v>
      </x:c>
      <x:c r="B32" s="43"/>
      <x:c r="C32" s="43"/>
      <x:c r="D32" s="43"/>
      <x:c r="E32" s="43"/>
      <x:c r="F32" s="43"/>
      <x:c r="G32" s="43"/>
      <x:c r="H32" s="43"/>
      <x:c r="I32" s="43"/>
      <x:c r="J32" s="43"/>
      <x:c r="K32" s="43"/>
      <x:c r="L32" s="43"/>
      <x:c r="M32" s="43"/>
      <x:c r="N32" s="43"/>
      <x:c r="O32" s="43"/>
      <x:c r="P32" s="43"/>
      <x:c r="Q32" s="43"/>
      <x:c r="R32" s="43"/>
      <x:c r="S32" s="43"/>
      <x:c r="T32" s="43"/>
    </x:row>
    <x:row r="33" ht="50" customHeight="1">
      <x:c r="A33" s="43" t="str">
        <x:v>AERA-CR-0029</x:v>
      </x:c>
      <x:c r="B33" s="43"/>
      <x:c r="C33" s="43"/>
      <x:c r="D33" s="43"/>
      <x:c r="E33" s="43"/>
      <x:c r="F33" s="43"/>
      <x:c r="G33" s="43"/>
      <x:c r="H33" s="43"/>
      <x:c r="I33" s="43"/>
      <x:c r="J33" s="43"/>
      <x:c r="K33" s="43"/>
      <x:c r="L33" s="43"/>
      <x:c r="M33" s="43"/>
      <x:c r="N33" s="43"/>
      <x:c r="O33" s="43"/>
      <x:c r="P33" s="43"/>
      <x:c r="Q33" s="43"/>
      <x:c r="R33" s="43"/>
      <x:c r="S33" s="43"/>
      <x:c r="T33" s="43"/>
    </x:row>
    <x:row r="34" ht="50" customHeight="1">
      <x:c r="A34" s="43" t="str">
        <x:v>AERA-CR-0030</x:v>
      </x:c>
      <x:c r="B34" s="43"/>
      <x:c r="C34" s="43"/>
      <x:c r="D34" s="43"/>
      <x:c r="E34" s="43"/>
      <x:c r="F34" s="43"/>
      <x:c r="G34" s="43"/>
      <x:c r="H34" s="43"/>
      <x:c r="I34" s="43"/>
      <x:c r="J34" s="43"/>
      <x:c r="K34" s="43"/>
      <x:c r="L34" s="43"/>
      <x:c r="M34" s="43"/>
      <x:c r="N34" s="43"/>
      <x:c r="O34" s="43"/>
      <x:c r="P34" s="43"/>
      <x:c r="Q34" s="43"/>
      <x:c r="R34" s="43"/>
      <x:c r="S34" s="43"/>
      <x:c r="T34" s="43"/>
    </x:row>
    <x:row r="35" ht="50" customHeight="1">
      <x:c r="A35" s="43" t="str">
        <x:v>AERA-CR-0031</x:v>
      </x:c>
      <x:c r="B35" s="43"/>
      <x:c r="C35" s="43"/>
      <x:c r="D35" s="43"/>
      <x:c r="E35" s="43"/>
      <x:c r="F35" s="43"/>
      <x:c r="G35" s="43"/>
      <x:c r="H35" s="43"/>
      <x:c r="I35" s="43"/>
      <x:c r="J35" s="43"/>
      <x:c r="K35" s="43"/>
      <x:c r="L35" s="43"/>
      <x:c r="M35" s="43"/>
      <x:c r="N35" s="43"/>
      <x:c r="O35" s="43"/>
      <x:c r="P35" s="43"/>
      <x:c r="Q35" s="43"/>
      <x:c r="R35" s="43"/>
      <x:c r="S35" s="43"/>
      <x:c r="T35" s="43"/>
    </x:row>
    <x:row r="36" ht="50" customHeight="1">
      <x:c r="A36" s="43" t="str">
        <x:v>AERA-CR-0032</x:v>
      </x:c>
      <x:c r="B36" s="43"/>
      <x:c r="C36" s="43"/>
      <x:c r="D36" s="43"/>
      <x:c r="E36" s="43"/>
      <x:c r="F36" s="43"/>
      <x:c r="G36" s="43"/>
      <x:c r="H36" s="43"/>
      <x:c r="I36" s="43"/>
      <x:c r="J36" s="43"/>
      <x:c r="K36" s="43"/>
      <x:c r="L36" s="43"/>
      <x:c r="M36" s="43"/>
      <x:c r="N36" s="43"/>
      <x:c r="O36" s="43"/>
      <x:c r="P36" s="43"/>
      <x:c r="Q36" s="43"/>
      <x:c r="R36" s="43"/>
      <x:c r="S36" s="43"/>
      <x:c r="T36" s="43"/>
    </x:row>
    <x:row r="37" ht="50" customHeight="1">
      <x:c r="A37" s="43" t="str">
        <x:v>AERA-CR-0033</x:v>
      </x:c>
      <x:c r="B37" s="43"/>
      <x:c r="C37" s="43"/>
      <x:c r="D37" s="43"/>
      <x:c r="E37" s="43"/>
      <x:c r="F37" s="43"/>
      <x:c r="G37" s="43"/>
      <x:c r="H37" s="43"/>
      <x:c r="I37" s="43"/>
      <x:c r="J37" s="43"/>
      <x:c r="K37" s="43"/>
      <x:c r="L37" s="43"/>
      <x:c r="M37" s="43"/>
      <x:c r="N37" s="43"/>
      <x:c r="O37" s="43"/>
      <x:c r="P37" s="43"/>
      <x:c r="Q37" s="43"/>
      <x:c r="R37" s="43"/>
      <x:c r="S37" s="43"/>
      <x:c r="T37" s="43"/>
    </x:row>
    <x:row r="38" ht="50" customHeight="1">
      <x:c r="A38" s="43" t="str">
        <x:v>AERA-CR-0034</x:v>
      </x:c>
      <x:c r="B38" s="43"/>
      <x:c r="C38" s="43"/>
      <x:c r="D38" s="43"/>
      <x:c r="E38" s="43"/>
      <x:c r="F38" s="43"/>
      <x:c r="G38" s="43"/>
      <x:c r="H38" s="43"/>
      <x:c r="I38" s="43"/>
      <x:c r="J38" s="43"/>
      <x:c r="K38" s="43"/>
      <x:c r="L38" s="43"/>
      <x:c r="M38" s="43"/>
      <x:c r="N38" s="43"/>
      <x:c r="O38" s="43"/>
      <x:c r="P38" s="43"/>
      <x:c r="Q38" s="43"/>
      <x:c r="R38" s="43"/>
      <x:c r="S38" s="43"/>
      <x:c r="T38" s="43"/>
    </x:row>
    <x:row r="39" ht="50" customHeight="1">
      <x:c r="A39" s="43" t="str">
        <x:v>AERA-CR-0035</x:v>
      </x:c>
      <x:c r="B39" s="43"/>
      <x:c r="C39" s="43"/>
      <x:c r="D39" s="43"/>
      <x:c r="E39" s="43"/>
      <x:c r="F39" s="43"/>
      <x:c r="G39" s="43"/>
      <x:c r="H39" s="43"/>
      <x:c r="I39" s="43"/>
      <x:c r="J39" s="43"/>
      <x:c r="K39" s="43"/>
      <x:c r="L39" s="43"/>
      <x:c r="M39" s="43"/>
      <x:c r="N39" s="43"/>
      <x:c r="O39" s="43"/>
      <x:c r="P39" s="43"/>
      <x:c r="Q39" s="43"/>
      <x:c r="R39" s="43"/>
      <x:c r="S39" s="43"/>
      <x:c r="T39" s="43"/>
    </x:row>
    <x:row r="40" ht="50" customHeight="1">
      <x:c r="A40" s="43" t="str">
        <x:v>AERA-CR-0036</x:v>
      </x:c>
      <x:c r="B40" s="43"/>
      <x:c r="C40" s="43"/>
      <x:c r="D40" s="43"/>
      <x:c r="E40" s="43"/>
      <x:c r="F40" s="43"/>
      <x:c r="G40" s="43"/>
      <x:c r="H40" s="43"/>
      <x:c r="I40" s="43"/>
      <x:c r="J40" s="43"/>
      <x:c r="K40" s="43"/>
      <x:c r="L40" s="43"/>
      <x:c r="M40" s="43"/>
      <x:c r="N40" s="43"/>
      <x:c r="O40" s="43"/>
      <x:c r="P40" s="43"/>
      <x:c r="Q40" s="43"/>
      <x:c r="R40" s="43"/>
      <x:c r="S40" s="43"/>
      <x:c r="T40" s="43"/>
    </x:row>
    <x:row r="41" ht="50" customHeight="1">
      <x:c r="A41" s="43" t="str">
        <x:v>AERA-CR-0037</x:v>
      </x:c>
      <x:c r="B41" s="43"/>
      <x:c r="C41" s="43"/>
      <x:c r="D41" s="43"/>
      <x:c r="E41" s="43"/>
      <x:c r="F41" s="43"/>
      <x:c r="G41" s="43"/>
      <x:c r="H41" s="43"/>
      <x:c r="I41" s="43"/>
      <x:c r="J41" s="43"/>
      <x:c r="K41" s="43"/>
      <x:c r="L41" s="43"/>
      <x:c r="M41" s="43"/>
      <x:c r="N41" s="43"/>
      <x:c r="O41" s="43"/>
      <x:c r="P41" s="43"/>
      <x:c r="Q41" s="43"/>
      <x:c r="R41" s="43"/>
      <x:c r="S41" s="43"/>
      <x:c r="T41" s="43"/>
    </x:row>
    <x:row r="42" ht="50" customHeight="1">
      <x:c r="A42" s="43" t="str">
        <x:v>AERA-CR-0038</x:v>
      </x:c>
      <x:c r="B42" s="43"/>
      <x:c r="C42" s="43"/>
      <x:c r="D42" s="43"/>
      <x:c r="E42" s="43"/>
      <x:c r="F42" s="43"/>
      <x:c r="G42" s="43"/>
      <x:c r="H42" s="43"/>
      <x:c r="I42" s="43"/>
      <x:c r="J42" s="43"/>
      <x:c r="K42" s="43"/>
      <x:c r="L42" s="43"/>
      <x:c r="M42" s="43"/>
      <x:c r="N42" s="43"/>
      <x:c r="O42" s="43"/>
      <x:c r="P42" s="43"/>
      <x:c r="Q42" s="43"/>
      <x:c r="R42" s="43"/>
      <x:c r="S42" s="43"/>
      <x:c r="T42" s="43"/>
    </x:row>
    <x:row r="43" ht="50" customHeight="1">
      <x:c r="A43" s="43" t="str">
        <x:v>AERA-CR-0039</x:v>
      </x:c>
      <x:c r="B43" s="43"/>
      <x:c r="C43" s="43"/>
      <x:c r="D43" s="43"/>
      <x:c r="E43" s="43"/>
      <x:c r="F43" s="43"/>
      <x:c r="G43" s="43"/>
      <x:c r="H43" s="43"/>
      <x:c r="I43" s="43"/>
      <x:c r="J43" s="43"/>
      <x:c r="K43" s="43"/>
      <x:c r="L43" s="43"/>
      <x:c r="M43" s="43"/>
      <x:c r="N43" s="43"/>
      <x:c r="O43" s="43"/>
      <x:c r="P43" s="43"/>
      <x:c r="Q43" s="43"/>
      <x:c r="R43" s="43"/>
      <x:c r="S43" s="43"/>
      <x:c r="T43" s="43"/>
    </x:row>
    <x:row r="44" ht="50" customHeight="1">
      <x:c r="A44" s="43" t="str">
        <x:v>AERA-CR-0040</x:v>
      </x:c>
      <x:c r="B44" s="43"/>
      <x:c r="C44" s="43"/>
      <x:c r="D44" s="43"/>
      <x:c r="E44" s="43"/>
      <x:c r="F44" s="43"/>
      <x:c r="G44" s="43"/>
      <x:c r="H44" s="43"/>
      <x:c r="I44" s="43"/>
      <x:c r="J44" s="43"/>
      <x:c r="K44" s="43"/>
      <x:c r="L44" s="43"/>
      <x:c r="M44" s="43"/>
      <x:c r="N44" s="43"/>
      <x:c r="O44" s="43"/>
      <x:c r="P44" s="43"/>
      <x:c r="Q44" s="43"/>
      <x:c r="R44" s="43"/>
      <x:c r="S44" s="43"/>
      <x:c r="T44" s="43"/>
    </x:row>
    <x:row r="45" ht="50" customHeight="1">
      <x:c r="A45" s="43" t="str">
        <x:v>AERA-CR-0041</x:v>
      </x:c>
      <x:c r="B45" s="43"/>
      <x:c r="C45" s="43"/>
      <x:c r="D45" s="43"/>
      <x:c r="E45" s="43"/>
      <x:c r="F45" s="43"/>
      <x:c r="G45" s="43"/>
      <x:c r="H45" s="43"/>
      <x:c r="I45" s="43"/>
      <x:c r="J45" s="43"/>
      <x:c r="K45" s="43"/>
      <x:c r="L45" s="43"/>
      <x:c r="M45" s="43"/>
      <x:c r="N45" s="43"/>
      <x:c r="O45" s="43"/>
      <x:c r="P45" s="43"/>
      <x:c r="Q45" s="43"/>
      <x:c r="R45" s="43"/>
      <x:c r="S45" s="43"/>
      <x:c r="T45" s="43"/>
    </x:row>
    <x:row r="46" ht="50" customHeight="1">
      <x:c r="A46" s="43" t="str">
        <x:v>AERA-CR-0042</x:v>
      </x:c>
      <x:c r="B46" s="43"/>
      <x:c r="C46" s="43"/>
      <x:c r="D46" s="43"/>
      <x:c r="E46" s="43"/>
      <x:c r="F46" s="43"/>
      <x:c r="G46" s="43"/>
      <x:c r="H46" s="43"/>
      <x:c r="I46" s="43"/>
      <x:c r="J46" s="43"/>
      <x:c r="K46" s="43"/>
      <x:c r="L46" s="43"/>
      <x:c r="M46" s="43"/>
      <x:c r="N46" s="43"/>
      <x:c r="O46" s="43"/>
      <x:c r="P46" s="43"/>
      <x:c r="Q46" s="43"/>
      <x:c r="R46" s="43"/>
      <x:c r="S46" s="43"/>
      <x:c r="T46" s="43"/>
    </x:row>
    <x:row r="47" ht="50" customHeight="1">
      <x:c r="A47" s="43" t="str">
        <x:v>AERA-CR-0043</x:v>
      </x:c>
      <x:c r="B47" s="43"/>
      <x:c r="C47" s="43"/>
      <x:c r="D47" s="43"/>
      <x:c r="E47" s="43"/>
      <x:c r="F47" s="43"/>
      <x:c r="G47" s="43"/>
      <x:c r="H47" s="43"/>
      <x:c r="I47" s="43"/>
      <x:c r="J47" s="43"/>
      <x:c r="K47" s="43"/>
      <x:c r="L47" s="43"/>
      <x:c r="M47" s="43"/>
      <x:c r="N47" s="43"/>
      <x:c r="O47" s="43"/>
      <x:c r="P47" s="43"/>
      <x:c r="Q47" s="43"/>
      <x:c r="R47" s="43"/>
      <x:c r="S47" s="43"/>
      <x:c r="T47" s="43"/>
    </x:row>
    <x:row r="48" ht="50" customHeight="1">
      <x:c r="A48" s="43" t="str">
        <x:v>AERA-CR-0044</x:v>
      </x:c>
      <x:c r="B48" s="43"/>
      <x:c r="C48" s="43"/>
      <x:c r="D48" s="43"/>
      <x:c r="E48" s="43"/>
      <x:c r="F48" s="43"/>
      <x:c r="G48" s="43"/>
      <x:c r="H48" s="43"/>
      <x:c r="I48" s="43"/>
      <x:c r="J48" s="43"/>
      <x:c r="K48" s="43"/>
      <x:c r="L48" s="43"/>
      <x:c r="M48" s="43"/>
      <x:c r="N48" s="43"/>
      <x:c r="O48" s="43"/>
      <x:c r="P48" s="43"/>
      <x:c r="Q48" s="43"/>
      <x:c r="R48" s="43"/>
      <x:c r="S48" s="43"/>
      <x:c r="T48" s="43"/>
    </x:row>
    <x:row r="49" ht="50" customHeight="1">
      <x:c r="A49" s="43" t="str">
        <x:v>AERA-CR-0045</x:v>
      </x:c>
      <x:c r="B49" s="43"/>
      <x:c r="C49" s="43"/>
      <x:c r="D49" s="43"/>
      <x:c r="E49" s="43"/>
      <x:c r="F49" s="43"/>
      <x:c r="G49" s="43"/>
      <x:c r="H49" s="43"/>
      <x:c r="I49" s="43"/>
      <x:c r="J49" s="43"/>
      <x:c r="K49" s="43"/>
      <x:c r="L49" s="43"/>
      <x:c r="M49" s="43"/>
      <x:c r="N49" s="43"/>
      <x:c r="O49" s="43"/>
      <x:c r="P49" s="43"/>
      <x:c r="Q49" s="43"/>
      <x:c r="R49" s="43"/>
      <x:c r="S49" s="43"/>
      <x:c r="T49" s="43"/>
    </x:row>
    <x:row r="50" ht="50" customHeight="1">
      <x:c r="A50" s="43" t="str">
        <x:v>AERA-CR-0046</x:v>
      </x:c>
      <x:c r="B50" s="43"/>
      <x:c r="C50" s="43"/>
      <x:c r="D50" s="43"/>
      <x:c r="E50" s="43"/>
      <x:c r="F50" s="43"/>
      <x:c r="G50" s="43"/>
      <x:c r="H50" s="43"/>
      <x:c r="I50" s="43"/>
      <x:c r="J50" s="43"/>
      <x:c r="K50" s="43"/>
      <x:c r="L50" s="43"/>
      <x:c r="M50" s="43"/>
      <x:c r="N50" s="43"/>
      <x:c r="O50" s="43"/>
      <x:c r="P50" s="43"/>
      <x:c r="Q50" s="43"/>
      <x:c r="R50" s="43"/>
      <x:c r="S50" s="43"/>
      <x:c r="T50" s="43"/>
    </x:row>
    <x:row r="51" ht="50" customHeight="1">
      <x:c r="A51" s="43" t="str">
        <x:v>AERA-CR-0047</x:v>
      </x:c>
      <x:c r="B51" s="43"/>
      <x:c r="C51" s="43"/>
      <x:c r="D51" s="43"/>
      <x:c r="E51" s="43"/>
      <x:c r="F51" s="43"/>
      <x:c r="G51" s="43"/>
      <x:c r="H51" s="43"/>
      <x:c r="I51" s="43"/>
      <x:c r="J51" s="43"/>
      <x:c r="K51" s="43"/>
      <x:c r="L51" s="43"/>
      <x:c r="M51" s="43"/>
      <x:c r="N51" s="43"/>
      <x:c r="O51" s="43"/>
      <x:c r="P51" s="43"/>
      <x:c r="Q51" s="43"/>
      <x:c r="R51" s="43"/>
      <x:c r="S51" s="43"/>
      <x:c r="T51" s="43"/>
    </x:row>
    <x:row r="52" ht="50" customHeight="1">
      <x:c r="A52" s="43" t="str">
        <x:v>AERA-CR-0048</x:v>
      </x:c>
      <x:c r="B52" s="43"/>
      <x:c r="C52" s="43"/>
      <x:c r="D52" s="43"/>
      <x:c r="E52" s="43"/>
      <x:c r="F52" s="43"/>
      <x:c r="G52" s="43"/>
      <x:c r="H52" s="43"/>
      <x:c r="I52" s="43"/>
      <x:c r="J52" s="43"/>
      <x:c r="K52" s="43"/>
      <x:c r="L52" s="43"/>
      <x:c r="M52" s="43"/>
      <x:c r="N52" s="43"/>
      <x:c r="O52" s="43"/>
      <x:c r="P52" s="43"/>
      <x:c r="Q52" s="43"/>
      <x:c r="R52" s="43"/>
      <x:c r="S52" s="43"/>
      <x:c r="T52" s="43"/>
    </x:row>
    <x:row r="53" ht="50" customHeight="1">
      <x:c r="A53" s="43" t="str">
        <x:v>AERA-CR-0049</x:v>
      </x:c>
      <x:c r="B53" s="43"/>
      <x:c r="C53" s="43"/>
      <x:c r="D53" s="43"/>
      <x:c r="E53" s="43"/>
      <x:c r="F53" s="43"/>
      <x:c r="G53" s="43"/>
      <x:c r="H53" s="43"/>
      <x:c r="I53" s="43"/>
      <x:c r="J53" s="43"/>
      <x:c r="K53" s="43"/>
      <x:c r="L53" s="43"/>
      <x:c r="M53" s="43"/>
      <x:c r="N53" s="43"/>
      <x:c r="O53" s="43"/>
      <x:c r="P53" s="43"/>
      <x:c r="Q53" s="43"/>
      <x:c r="R53" s="43"/>
      <x:c r="S53" s="43"/>
      <x:c r="T53" s="43"/>
    </x:row>
    <x:row r="54" ht="50" customHeight="1">
      <x:c r="A54" s="43" t="str">
        <x:v>AERA-CR-0050</x:v>
      </x:c>
      <x:c r="B54" s="43"/>
      <x:c r="C54" s="43"/>
      <x:c r="D54" s="43"/>
      <x:c r="E54" s="43"/>
      <x:c r="F54" s="43"/>
      <x:c r="G54" s="43"/>
      <x:c r="H54" s="43"/>
      <x:c r="I54" s="43"/>
      <x:c r="J54" s="43"/>
      <x:c r="K54" s="43"/>
      <x:c r="L54" s="43"/>
      <x:c r="M54" s="43"/>
      <x:c r="N54" s="43"/>
      <x:c r="O54" s="43"/>
      <x:c r="P54" s="43"/>
      <x:c r="Q54" s="43"/>
      <x:c r="R54" s="43"/>
      <x:c r="S54" s="43"/>
      <x:c r="T54" s="43"/>
    </x:row>
    <x:row r="55" ht="50" customHeight="1">
      <x:c r="A55" s="43" t="str">
        <x:v>AERA-CR-0051</x:v>
      </x:c>
      <x:c r="B55" s="43"/>
      <x:c r="C55" s="43"/>
      <x:c r="D55" s="43"/>
      <x:c r="E55" s="43"/>
      <x:c r="F55" s="43"/>
      <x:c r="G55" s="43"/>
      <x:c r="H55" s="43"/>
      <x:c r="I55" s="43"/>
      <x:c r="J55" s="43"/>
      <x:c r="K55" s="43"/>
      <x:c r="L55" s="43"/>
      <x:c r="M55" s="43"/>
      <x:c r="N55" s="43"/>
      <x:c r="O55" s="43"/>
      <x:c r="P55" s="43"/>
      <x:c r="Q55" s="43"/>
      <x:c r="R55" s="43"/>
      <x:c r="S55" s="43"/>
      <x:c r="T55" s="43"/>
    </x:row>
    <x:row r="56" ht="50" customHeight="1">
      <x:c r="A56" s="43" t="str">
        <x:v>AERA-CR-0052</x:v>
      </x:c>
      <x:c r="B56" s="43"/>
      <x:c r="C56" s="43"/>
      <x:c r="D56" s="43"/>
      <x:c r="E56" s="43"/>
      <x:c r="F56" s="43"/>
      <x:c r="G56" s="43"/>
      <x:c r="H56" s="43"/>
      <x:c r="I56" s="43"/>
      <x:c r="J56" s="43"/>
      <x:c r="K56" s="43"/>
      <x:c r="L56" s="43"/>
      <x:c r="M56" s="43"/>
      <x:c r="N56" s="43"/>
      <x:c r="O56" s="43"/>
      <x:c r="P56" s="43"/>
      <x:c r="Q56" s="43"/>
      <x:c r="R56" s="43"/>
      <x:c r="S56" s="43"/>
      <x:c r="T56" s="43"/>
    </x:row>
    <x:row r="57" ht="50" customHeight="1">
      <x:c r="A57" s="43" t="str">
        <x:v>AERA-CR-0053</x:v>
      </x:c>
      <x:c r="B57" s="43"/>
      <x:c r="C57" s="43"/>
      <x:c r="D57" s="43"/>
      <x:c r="E57" s="43"/>
      <x:c r="F57" s="43"/>
      <x:c r="G57" s="43"/>
      <x:c r="H57" s="43"/>
      <x:c r="I57" s="43"/>
      <x:c r="J57" s="43"/>
      <x:c r="K57" s="43"/>
      <x:c r="L57" s="43"/>
      <x:c r="M57" s="43"/>
      <x:c r="N57" s="43"/>
      <x:c r="O57" s="43"/>
      <x:c r="P57" s="43"/>
      <x:c r="Q57" s="43"/>
      <x:c r="R57" s="43"/>
      <x:c r="S57" s="43"/>
      <x:c r="T57" s="43"/>
    </x:row>
    <x:row r="58" ht="50" customHeight="1">
      <x:c r="A58" s="43" t="str">
        <x:v>AERA-CR-0054</x:v>
      </x:c>
      <x:c r="B58" s="43"/>
      <x:c r="C58" s="43"/>
      <x:c r="D58" s="43"/>
      <x:c r="E58" s="43"/>
      <x:c r="F58" s="43"/>
      <x:c r="G58" s="43"/>
      <x:c r="H58" s="43"/>
      <x:c r="I58" s="43"/>
      <x:c r="J58" s="43"/>
      <x:c r="K58" s="43"/>
      <x:c r="L58" s="43"/>
      <x:c r="M58" s="43"/>
      <x:c r="N58" s="43"/>
      <x:c r="O58" s="43"/>
      <x:c r="P58" s="43"/>
      <x:c r="Q58" s="43"/>
      <x:c r="R58" s="43"/>
      <x:c r="S58" s="43"/>
      <x:c r="T58" s="43"/>
    </x:row>
    <x:row r="59" ht="50" customHeight="1">
      <x:c r="A59" s="43" t="str">
        <x:v>AERA-CR-0055</x:v>
      </x:c>
      <x:c r="B59" s="43"/>
      <x:c r="C59" s="43"/>
      <x:c r="D59" s="43"/>
      <x:c r="E59" s="43"/>
      <x:c r="F59" s="43"/>
      <x:c r="G59" s="43"/>
      <x:c r="H59" s="43"/>
      <x:c r="I59" s="43"/>
      <x:c r="J59" s="43"/>
      <x:c r="K59" s="43"/>
      <x:c r="L59" s="43"/>
      <x:c r="M59" s="43"/>
      <x:c r="N59" s="43"/>
      <x:c r="O59" s="43"/>
      <x:c r="P59" s="43"/>
      <x:c r="Q59" s="43"/>
      <x:c r="R59" s="43"/>
      <x:c r="S59" s="43"/>
      <x:c r="T59" s="43"/>
    </x:row>
    <x:row r="60" ht="50" customHeight="1">
      <x:c r="A60" s="43" t="str">
        <x:v>AERA-CR-0056</x:v>
      </x:c>
      <x:c r="B60" s="43"/>
      <x:c r="C60" s="43"/>
      <x:c r="D60" s="43"/>
      <x:c r="E60" s="43"/>
      <x:c r="F60" s="43"/>
      <x:c r="G60" s="43"/>
      <x:c r="H60" s="43"/>
      <x:c r="I60" s="43"/>
      <x:c r="J60" s="43"/>
      <x:c r="K60" s="43"/>
      <x:c r="L60" s="43"/>
      <x:c r="M60" s="43"/>
      <x:c r="N60" s="43"/>
      <x:c r="O60" s="43"/>
      <x:c r="P60" s="43"/>
      <x:c r="Q60" s="43"/>
      <x:c r="R60" s="43"/>
      <x:c r="S60" s="43"/>
      <x:c r="T60" s="43"/>
    </x:row>
    <x:row r="61" ht="50" customHeight="1">
      <x:c r="A61" s="43" t="str">
        <x:v>AERA-CR-0057</x:v>
      </x:c>
      <x:c r="B61" s="43"/>
      <x:c r="C61" s="43"/>
      <x:c r="D61" s="43"/>
      <x:c r="E61" s="43"/>
      <x:c r="F61" s="43"/>
      <x:c r="G61" s="43"/>
      <x:c r="H61" s="43"/>
      <x:c r="I61" s="43"/>
      <x:c r="J61" s="43"/>
      <x:c r="K61" s="43"/>
      <x:c r="L61" s="43"/>
      <x:c r="M61" s="43"/>
      <x:c r="N61" s="43"/>
      <x:c r="O61" s="43"/>
      <x:c r="P61" s="43"/>
      <x:c r="Q61" s="43"/>
      <x:c r="R61" s="43"/>
      <x:c r="S61" s="43"/>
      <x:c r="T61" s="43"/>
    </x:row>
    <x:row r="62" ht="50" customHeight="1">
      <x:c r="A62" s="43" t="str">
        <x:v>AERA-CR-0058</x:v>
      </x:c>
      <x:c r="B62" s="43"/>
      <x:c r="C62" s="43"/>
      <x:c r="D62" s="43"/>
      <x:c r="E62" s="43"/>
      <x:c r="F62" s="43"/>
      <x:c r="G62" s="43"/>
      <x:c r="H62" s="43"/>
      <x:c r="I62" s="43"/>
      <x:c r="J62" s="43"/>
      <x:c r="K62" s="43"/>
      <x:c r="L62" s="43"/>
      <x:c r="M62" s="43"/>
      <x:c r="N62" s="43"/>
      <x:c r="O62" s="43"/>
      <x:c r="P62" s="43"/>
      <x:c r="Q62" s="43"/>
      <x:c r="R62" s="43"/>
      <x:c r="S62" s="43"/>
      <x:c r="T62" s="43"/>
    </x:row>
    <x:row r="63" ht="50" customHeight="1">
      <x:c r="A63" s="43" t="str">
        <x:v>AERA-CR-0059</x:v>
      </x:c>
      <x:c r="B63" s="43"/>
      <x:c r="C63" s="43"/>
      <x:c r="D63" s="43"/>
      <x:c r="E63" s="43"/>
      <x:c r="F63" s="43"/>
      <x:c r="G63" s="43"/>
      <x:c r="H63" s="43"/>
      <x:c r="I63" s="43"/>
      <x:c r="J63" s="43"/>
      <x:c r="K63" s="43"/>
      <x:c r="L63" s="43"/>
      <x:c r="M63" s="43"/>
      <x:c r="N63" s="43"/>
      <x:c r="O63" s="43"/>
      <x:c r="P63" s="43"/>
      <x:c r="Q63" s="43"/>
      <x:c r="R63" s="43"/>
      <x:c r="S63" s="43"/>
      <x:c r="T63" s="43"/>
    </x:row>
    <x:row r="64" ht="50" customHeight="1">
      <x:c r="A64" s="43" t="str">
        <x:v>AERA-CR-0060</x:v>
      </x:c>
      <x:c r="B64" s="43"/>
      <x:c r="C64" s="43"/>
      <x:c r="D64" s="43"/>
      <x:c r="E64" s="43"/>
      <x:c r="F64" s="43"/>
      <x:c r="G64" s="43"/>
      <x:c r="H64" s="43"/>
      <x:c r="I64" s="43"/>
      <x:c r="J64" s="43"/>
      <x:c r="K64" s="43"/>
      <x:c r="L64" s="43"/>
      <x:c r="M64" s="43"/>
      <x:c r="N64" s="43"/>
      <x:c r="O64" s="43"/>
      <x:c r="P64" s="43"/>
      <x:c r="Q64" s="43"/>
      <x:c r="R64" s="43"/>
      <x:c r="S64" s="43"/>
      <x:c r="T64" s="43"/>
    </x:row>
    <x:row r="65" ht="50" customHeight="1">
      <x:c r="A65" s="43" t="str">
        <x:v>AERA-CR-0061</x:v>
      </x:c>
      <x:c r="B65" s="43"/>
      <x:c r="C65" s="43"/>
      <x:c r="D65" s="43"/>
      <x:c r="E65" s="43"/>
      <x:c r="F65" s="43"/>
      <x:c r="G65" s="43"/>
      <x:c r="H65" s="43"/>
      <x:c r="I65" s="43"/>
      <x:c r="J65" s="43"/>
      <x:c r="K65" s="43"/>
      <x:c r="L65" s="43"/>
      <x:c r="M65" s="43"/>
      <x:c r="N65" s="43"/>
      <x:c r="O65" s="43"/>
      <x:c r="P65" s="43"/>
      <x:c r="Q65" s="43"/>
      <x:c r="R65" s="43"/>
      <x:c r="S65" s="43"/>
      <x:c r="T65" s="43"/>
    </x:row>
    <x:row r="66" ht="50" customHeight="1">
      <x:c r="A66" s="43" t="str">
        <x:v>AERA-CR-0062</x:v>
      </x:c>
      <x:c r="B66" s="43"/>
      <x:c r="C66" s="43"/>
      <x:c r="D66" s="43"/>
      <x:c r="E66" s="43"/>
      <x:c r="F66" s="43"/>
      <x:c r="G66" s="43"/>
      <x:c r="H66" s="43"/>
      <x:c r="I66" s="43"/>
      <x:c r="J66" s="43"/>
      <x:c r="K66" s="43"/>
      <x:c r="L66" s="43"/>
      <x:c r="M66" s="43"/>
      <x:c r="N66" s="43"/>
      <x:c r="O66" s="43"/>
      <x:c r="P66" s="43"/>
      <x:c r="Q66" s="43"/>
      <x:c r="R66" s="43"/>
      <x:c r="S66" s="43"/>
      <x:c r="T66" s="43"/>
    </x:row>
    <x:row r="67" ht="50" customHeight="1">
      <x:c r="A67" s="43" t="str">
        <x:v>AERA-CR-0063</x:v>
      </x:c>
      <x:c r="B67" s="43"/>
      <x:c r="C67" s="43"/>
      <x:c r="D67" s="43"/>
      <x:c r="E67" s="43"/>
      <x:c r="F67" s="43"/>
      <x:c r="G67" s="43"/>
      <x:c r="H67" s="43"/>
      <x:c r="I67" s="43"/>
      <x:c r="J67" s="43"/>
      <x:c r="K67" s="43"/>
      <x:c r="L67" s="43"/>
      <x:c r="M67" s="43"/>
      <x:c r="N67" s="43"/>
      <x:c r="O67" s="43"/>
      <x:c r="P67" s="43"/>
      <x:c r="Q67" s="43"/>
      <x:c r="R67" s="43"/>
      <x:c r="S67" s="43"/>
      <x:c r="T67" s="43"/>
    </x:row>
    <x:row r="68" ht="50" customHeight="1">
      <x:c r="A68" s="43" t="str">
        <x:v>AERA-CR-0064</x:v>
      </x:c>
      <x:c r="B68" s="43"/>
      <x:c r="C68" s="43"/>
      <x:c r="D68" s="43"/>
      <x:c r="E68" s="43"/>
      <x:c r="F68" s="43"/>
      <x:c r="G68" s="43"/>
      <x:c r="H68" s="43"/>
      <x:c r="I68" s="43"/>
      <x:c r="J68" s="43"/>
      <x:c r="K68" s="43"/>
      <x:c r="L68" s="43"/>
      <x:c r="M68" s="43"/>
      <x:c r="N68" s="43"/>
      <x:c r="O68" s="43"/>
      <x:c r="P68" s="43"/>
      <x:c r="Q68" s="43"/>
      <x:c r="R68" s="43"/>
      <x:c r="S68" s="43"/>
      <x:c r="T68" s="43"/>
    </x:row>
    <x:row r="69" ht="50" customHeight="1">
      <x:c r="A69" s="43" t="str">
        <x:v>AERA-CR-0065</x:v>
      </x:c>
      <x:c r="B69" s="43"/>
      <x:c r="C69" s="43"/>
      <x:c r="D69" s="43"/>
      <x:c r="E69" s="43"/>
      <x:c r="F69" s="43"/>
      <x:c r="G69" s="43"/>
      <x:c r="H69" s="43"/>
      <x:c r="I69" s="43"/>
      <x:c r="J69" s="43"/>
      <x:c r="K69" s="43"/>
      <x:c r="L69" s="43"/>
      <x:c r="M69" s="43"/>
      <x:c r="N69" s="43"/>
      <x:c r="O69" s="43"/>
      <x:c r="P69" s="43"/>
      <x:c r="Q69" s="43"/>
      <x:c r="R69" s="43"/>
      <x:c r="S69" s="43"/>
      <x:c r="T69" s="43"/>
    </x:row>
    <x:row r="70" ht="50" customHeight="1">
      <x:c r="A70" s="43" t="str">
        <x:v>AERA-CR-0066</x:v>
      </x:c>
      <x:c r="B70" s="43"/>
      <x:c r="C70" s="43"/>
      <x:c r="D70" s="43"/>
      <x:c r="E70" s="43"/>
      <x:c r="F70" s="43"/>
      <x:c r="G70" s="43"/>
      <x:c r="H70" s="43"/>
      <x:c r="I70" s="43"/>
      <x:c r="J70" s="43"/>
      <x:c r="K70" s="43"/>
      <x:c r="L70" s="43"/>
      <x:c r="M70" s="43"/>
      <x:c r="N70" s="43"/>
      <x:c r="O70" s="43"/>
      <x:c r="P70" s="43"/>
      <x:c r="Q70" s="43"/>
      <x:c r="R70" s="43"/>
      <x:c r="S70" s="43"/>
      <x:c r="T70" s="43"/>
    </x:row>
    <x:row r="71" ht="50" customHeight="1">
      <x:c r="A71" s="43" t="str">
        <x:v>AERA-CR-0067</x:v>
      </x:c>
      <x:c r="B71" s="43"/>
      <x:c r="C71" s="43"/>
      <x:c r="D71" s="43"/>
      <x:c r="E71" s="43"/>
      <x:c r="F71" s="43"/>
      <x:c r="G71" s="43"/>
      <x:c r="H71" s="43"/>
      <x:c r="I71" s="43"/>
      <x:c r="J71" s="43"/>
      <x:c r="K71" s="43"/>
      <x:c r="L71" s="43"/>
      <x:c r="M71" s="43"/>
      <x:c r="N71" s="43"/>
      <x:c r="O71" s="43"/>
      <x:c r="P71" s="43"/>
      <x:c r="Q71" s="43"/>
      <x:c r="R71" s="43"/>
      <x:c r="S71" s="43"/>
      <x:c r="T71" s="43"/>
    </x:row>
    <x:row r="72" ht="50" customHeight="1">
      <x:c r="A72" s="43" t="str">
        <x:v>AERA-CR-0068</x:v>
      </x:c>
      <x:c r="B72" s="43"/>
      <x:c r="C72" s="43"/>
      <x:c r="D72" s="43"/>
      <x:c r="E72" s="43"/>
      <x:c r="F72" s="43"/>
      <x:c r="G72" s="43"/>
      <x:c r="H72" s="43"/>
      <x:c r="I72" s="43"/>
      <x:c r="J72" s="43"/>
      <x:c r="K72" s="43"/>
      <x:c r="L72" s="43"/>
      <x:c r="M72" s="43"/>
      <x:c r="N72" s="43"/>
      <x:c r="O72" s="43"/>
      <x:c r="P72" s="43"/>
      <x:c r="Q72" s="43"/>
      <x:c r="R72" s="43"/>
      <x:c r="S72" s="43"/>
      <x:c r="T72" s="43"/>
    </x:row>
    <x:row r="73" ht="50" customHeight="1">
      <x:c r="A73" s="43" t="str">
        <x:v>AERA-CR-0069</x:v>
      </x:c>
      <x:c r="B73" s="43"/>
      <x:c r="C73" s="43"/>
      <x:c r="D73" s="43"/>
      <x:c r="E73" s="43"/>
      <x:c r="F73" s="43"/>
      <x:c r="G73" s="43"/>
      <x:c r="H73" s="43"/>
      <x:c r="I73" s="43"/>
      <x:c r="J73" s="43"/>
      <x:c r="K73" s="43"/>
      <x:c r="L73" s="43"/>
      <x:c r="M73" s="43"/>
      <x:c r="N73" s="43"/>
      <x:c r="O73" s="43"/>
      <x:c r="P73" s="43"/>
      <x:c r="Q73" s="43"/>
      <x:c r="R73" s="43"/>
      <x:c r="S73" s="43"/>
      <x:c r="T73" s="43"/>
    </x:row>
    <x:row r="74" ht="50" customHeight="1">
      <x:c r="A74" s="43" t="str">
        <x:v>AERA-CR-0070</x:v>
      </x:c>
      <x:c r="B74" s="43"/>
      <x:c r="C74" s="43"/>
      <x:c r="D74" s="43"/>
      <x:c r="E74" s="43"/>
      <x:c r="F74" s="43"/>
      <x:c r="G74" s="43"/>
      <x:c r="H74" s="43"/>
      <x:c r="I74" s="43"/>
      <x:c r="J74" s="43"/>
      <x:c r="K74" s="43"/>
      <x:c r="L74" s="43"/>
      <x:c r="M74" s="43"/>
      <x:c r="N74" s="43"/>
      <x:c r="O74" s="43"/>
      <x:c r="P74" s="43"/>
      <x:c r="Q74" s="43"/>
      <x:c r="R74" s="43"/>
      <x:c r="S74" s="43"/>
      <x:c r="T74" s="43"/>
    </x:row>
    <x:row r="75" ht="50" customHeight="1">
      <x:c r="A75" s="43" t="str">
        <x:v>AERA-CR-0071</x:v>
      </x:c>
      <x:c r="B75" s="43"/>
      <x:c r="C75" s="43"/>
      <x:c r="D75" s="43"/>
      <x:c r="E75" s="43"/>
      <x:c r="F75" s="43"/>
      <x:c r="G75" s="43"/>
      <x:c r="H75" s="43"/>
      <x:c r="I75" s="43"/>
      <x:c r="J75" s="43"/>
      <x:c r="K75" s="43"/>
      <x:c r="L75" s="43"/>
      <x:c r="M75" s="43"/>
      <x:c r="N75" s="43"/>
      <x:c r="O75" s="43"/>
      <x:c r="P75" s="43"/>
      <x:c r="Q75" s="43"/>
      <x:c r="R75" s="43"/>
      <x:c r="S75" s="43"/>
      <x:c r="T75" s="43"/>
    </x:row>
    <x:row r="76" ht="50" customHeight="1">
      <x:c r="A76" s="43" t="str">
        <x:v>AERA-CR-0072</x:v>
      </x:c>
      <x:c r="B76" s="43"/>
      <x:c r="C76" s="43"/>
      <x:c r="D76" s="43"/>
      <x:c r="E76" s="43"/>
      <x:c r="F76" s="43"/>
      <x:c r="G76" s="43"/>
      <x:c r="H76" s="43"/>
      <x:c r="I76" s="43"/>
      <x:c r="J76" s="43"/>
      <x:c r="K76" s="43"/>
      <x:c r="L76" s="43"/>
      <x:c r="M76" s="43"/>
      <x:c r="N76" s="43"/>
      <x:c r="O76" s="43"/>
      <x:c r="P76" s="43"/>
      <x:c r="Q76" s="43"/>
      <x:c r="R76" s="43"/>
      <x:c r="S76" s="43"/>
      <x:c r="T76" s="43"/>
    </x:row>
    <x:row r="77" ht="50" customHeight="1">
      <x:c r="A77" s="43" t="str">
        <x:v>AERA-CR-0073</x:v>
      </x:c>
      <x:c r="B77" s="43"/>
      <x:c r="C77" s="43"/>
      <x:c r="D77" s="43"/>
      <x:c r="E77" s="43"/>
      <x:c r="F77" s="43"/>
      <x:c r="G77" s="43"/>
      <x:c r="H77" s="43"/>
      <x:c r="I77" s="43"/>
      <x:c r="J77" s="43"/>
      <x:c r="K77" s="43"/>
      <x:c r="L77" s="43"/>
      <x:c r="M77" s="43"/>
      <x:c r="N77" s="43"/>
      <x:c r="O77" s="43"/>
      <x:c r="P77" s="43"/>
      <x:c r="Q77" s="43"/>
      <x:c r="R77" s="43"/>
      <x:c r="S77" s="43"/>
      <x:c r="T77" s="43"/>
    </x:row>
    <x:row r="78" ht="50" customHeight="1">
      <x:c r="A78" s="43" t="str">
        <x:v>AERA-CR-0074</x:v>
      </x:c>
      <x:c r="B78" s="43"/>
      <x:c r="C78" s="43"/>
      <x:c r="D78" s="43"/>
      <x:c r="E78" s="43"/>
      <x:c r="F78" s="43"/>
      <x:c r="G78" s="43"/>
      <x:c r="H78" s="43"/>
      <x:c r="I78" s="43"/>
      <x:c r="J78" s="43"/>
      <x:c r="K78" s="43"/>
      <x:c r="L78" s="43"/>
      <x:c r="M78" s="43"/>
      <x:c r="N78" s="43"/>
      <x:c r="O78" s="43"/>
      <x:c r="P78" s="43"/>
      <x:c r="Q78" s="43"/>
      <x:c r="R78" s="43"/>
      <x:c r="S78" s="43"/>
      <x:c r="T78" s="43"/>
    </x:row>
    <x:row r="79" ht="50" customHeight="1">
      <x:c r="A79" s="43" t="str">
        <x:v>AERA-CR-0075</x:v>
      </x:c>
      <x:c r="B79" s="43"/>
      <x:c r="C79" s="43"/>
      <x:c r="D79" s="43"/>
      <x:c r="E79" s="43"/>
      <x:c r="F79" s="43"/>
      <x:c r="G79" s="43"/>
      <x:c r="H79" s="43"/>
      <x:c r="I79" s="43"/>
      <x:c r="J79" s="43"/>
      <x:c r="K79" s="43"/>
      <x:c r="L79" s="43"/>
      <x:c r="M79" s="43"/>
      <x:c r="N79" s="43"/>
      <x:c r="O79" s="43"/>
      <x:c r="P79" s="43"/>
      <x:c r="Q79" s="43"/>
      <x:c r="R79" s="43"/>
      <x:c r="S79" s="43"/>
      <x:c r="T79" s="43"/>
    </x:row>
    <x:row r="80" ht="50" customHeight="1">
      <x:c r="A80" s="43" t="str">
        <x:v>AERA-CR-0076</x:v>
      </x:c>
      <x:c r="B80" s="43"/>
      <x:c r="C80" s="43"/>
      <x:c r="D80" s="43"/>
      <x:c r="E80" s="43"/>
      <x:c r="F80" s="43"/>
      <x:c r="G80" s="43"/>
      <x:c r="H80" s="43"/>
      <x:c r="I80" s="43"/>
      <x:c r="J80" s="43"/>
      <x:c r="K80" s="43"/>
      <x:c r="L80" s="43"/>
      <x:c r="M80" s="43"/>
      <x:c r="N80" s="43"/>
      <x:c r="O80" s="43"/>
      <x:c r="P80" s="43"/>
      <x:c r="Q80" s="43"/>
      <x:c r="R80" s="43"/>
      <x:c r="S80" s="43"/>
      <x:c r="T80" s="43"/>
    </x:row>
    <x:row r="81" ht="50" customHeight="1">
      <x:c r="A81" s="43" t="str">
        <x:v>AERA-CR-0077</x:v>
      </x:c>
      <x:c r="B81" s="43"/>
      <x:c r="C81" s="43"/>
      <x:c r="D81" s="43"/>
      <x:c r="E81" s="43"/>
      <x:c r="F81" s="43"/>
      <x:c r="G81" s="43"/>
      <x:c r="H81" s="43"/>
      <x:c r="I81" s="43"/>
      <x:c r="J81" s="43"/>
      <x:c r="K81" s="43"/>
      <x:c r="L81" s="43"/>
      <x:c r="M81" s="43"/>
      <x:c r="N81" s="43"/>
      <x:c r="O81" s="43"/>
      <x:c r="P81" s="43"/>
      <x:c r="Q81" s="43"/>
      <x:c r="R81" s="43"/>
      <x:c r="S81" s="43"/>
      <x:c r="T81" s="43"/>
    </x:row>
    <x:row r="82" ht="50" customHeight="1">
      <x:c r="A82" s="43" t="str">
        <x:v>AERA-CR-0078</x:v>
      </x:c>
      <x:c r="B82" s="43"/>
      <x:c r="C82" s="43"/>
      <x:c r="D82" s="43"/>
      <x:c r="E82" s="43"/>
      <x:c r="F82" s="43"/>
      <x:c r="G82" s="43"/>
      <x:c r="H82" s="43"/>
      <x:c r="I82" s="43"/>
      <x:c r="J82" s="43"/>
      <x:c r="K82" s="43"/>
      <x:c r="L82" s="43"/>
      <x:c r="M82" s="43"/>
      <x:c r="N82" s="43"/>
      <x:c r="O82" s="43"/>
      <x:c r="P82" s="43"/>
      <x:c r="Q82" s="43"/>
      <x:c r="R82" s="43"/>
      <x:c r="S82" s="43"/>
      <x:c r="T82" s="43"/>
    </x:row>
    <x:row r="83" ht="50" customHeight="1">
      <x:c r="A83" s="43" t="str">
        <x:v>AERA-CR-0079</x:v>
      </x:c>
      <x:c r="B83" s="43"/>
      <x:c r="C83" s="43"/>
      <x:c r="D83" s="43"/>
      <x:c r="E83" s="43"/>
      <x:c r="F83" s="43"/>
      <x:c r="G83" s="43"/>
      <x:c r="H83" s="43"/>
      <x:c r="I83" s="43"/>
      <x:c r="J83" s="43"/>
      <x:c r="K83" s="43"/>
      <x:c r="L83" s="43"/>
      <x:c r="M83" s="43"/>
      <x:c r="N83" s="43"/>
      <x:c r="O83" s="43"/>
      <x:c r="P83" s="43"/>
      <x:c r="Q83" s="43"/>
      <x:c r="R83" s="43"/>
      <x:c r="S83" s="43"/>
      <x:c r="T83" s="43"/>
    </x:row>
    <x:row r="84" ht="50" customHeight="1">
      <x:c r="A84" s="43" t="str">
        <x:v>AERA-CR-0080</x:v>
      </x:c>
      <x:c r="B84" s="43"/>
      <x:c r="C84" s="43"/>
      <x:c r="D84" s="43"/>
      <x:c r="E84" s="43"/>
      <x:c r="F84" s="43"/>
      <x:c r="G84" s="43"/>
      <x:c r="H84" s="43"/>
      <x:c r="I84" s="43"/>
      <x:c r="J84" s="43"/>
      <x:c r="K84" s="43"/>
      <x:c r="L84" s="43"/>
      <x:c r="M84" s="43"/>
      <x:c r="N84" s="43"/>
      <x:c r="O84" s="43"/>
      <x:c r="P84" s="43"/>
      <x:c r="Q84" s="43"/>
      <x:c r="R84" s="43"/>
      <x:c r="S84" s="43"/>
      <x:c r="T84" s="43"/>
    </x:row>
    <x:row r="85" ht="50" customHeight="1">
      <x:c r="A85" s="43" t="str">
        <x:v>AERA-CR-0081</x:v>
      </x:c>
      <x:c r="B85" s="43"/>
      <x:c r="C85" s="43"/>
      <x:c r="D85" s="43"/>
      <x:c r="E85" s="43"/>
      <x:c r="F85" s="43"/>
      <x:c r="G85" s="43"/>
      <x:c r="H85" s="43"/>
      <x:c r="I85" s="43"/>
      <x:c r="J85" s="43"/>
      <x:c r="K85" s="43"/>
      <x:c r="L85" s="43"/>
      <x:c r="M85" s="43"/>
      <x:c r="N85" s="43"/>
      <x:c r="O85" s="43"/>
      <x:c r="P85" s="43"/>
      <x:c r="Q85" s="43"/>
      <x:c r="R85" s="43"/>
      <x:c r="S85" s="43"/>
      <x:c r="T85" s="43"/>
    </x:row>
    <x:row r="86" ht="50" customHeight="1">
      <x:c r="A86" s="43" t="str">
        <x:v>AERA-CR-0082</x:v>
      </x:c>
      <x:c r="B86" s="43"/>
      <x:c r="C86" s="43"/>
      <x:c r="D86" s="43"/>
      <x:c r="E86" s="43"/>
      <x:c r="F86" s="43"/>
      <x:c r="G86" s="43"/>
      <x:c r="H86" s="43"/>
      <x:c r="I86" s="43"/>
      <x:c r="J86" s="43"/>
      <x:c r="K86" s="43"/>
      <x:c r="L86" s="43"/>
      <x:c r="M86" s="43"/>
      <x:c r="N86" s="43"/>
      <x:c r="O86" s="43"/>
      <x:c r="P86" s="43"/>
      <x:c r="Q86" s="43"/>
      <x:c r="R86" s="43"/>
      <x:c r="S86" s="43"/>
      <x:c r="T86" s="43"/>
    </x:row>
    <x:row r="87" ht="50" customHeight="1">
      <x:c r="A87" s="43" t="str">
        <x:v>AERA-CR-0083</x:v>
      </x:c>
      <x:c r="B87" s="43"/>
      <x:c r="C87" s="43"/>
      <x:c r="D87" s="43"/>
      <x:c r="E87" s="43"/>
      <x:c r="F87" s="43"/>
      <x:c r="G87" s="43"/>
      <x:c r="H87" s="43"/>
      <x:c r="I87" s="43"/>
      <x:c r="J87" s="43"/>
      <x:c r="K87" s="43"/>
      <x:c r="L87" s="43"/>
      <x:c r="M87" s="43"/>
      <x:c r="N87" s="43"/>
      <x:c r="O87" s="43"/>
      <x:c r="P87" s="43"/>
      <x:c r="Q87" s="43"/>
      <x:c r="R87" s="43"/>
      <x:c r="S87" s="43"/>
      <x:c r="T87" s="43"/>
    </x:row>
    <x:row r="88" ht="50" customHeight="1">
      <x:c r="A88" s="43" t="str">
        <x:v>AERA-CR-0084</x:v>
      </x:c>
      <x:c r="B88" s="43"/>
      <x:c r="C88" s="43"/>
      <x:c r="D88" s="43"/>
      <x:c r="E88" s="43"/>
      <x:c r="F88" s="43"/>
      <x:c r="G88" s="43"/>
      <x:c r="H88" s="43"/>
      <x:c r="I88" s="43"/>
      <x:c r="J88" s="43"/>
      <x:c r="K88" s="43"/>
      <x:c r="L88" s="43"/>
      <x:c r="M88" s="43"/>
      <x:c r="N88" s="43"/>
      <x:c r="O88" s="43"/>
      <x:c r="P88" s="43"/>
      <x:c r="Q88" s="43"/>
      <x:c r="R88" s="43"/>
      <x:c r="S88" s="43"/>
      <x:c r="T88" s="43"/>
    </x:row>
    <x:row r="89" ht="50" customHeight="1">
      <x:c r="A89" s="43" t="str">
        <x:v>AERA-CR-0085</x:v>
      </x:c>
      <x:c r="B89" s="43"/>
      <x:c r="C89" s="43"/>
      <x:c r="D89" s="43"/>
      <x:c r="E89" s="43"/>
      <x:c r="F89" s="43"/>
      <x:c r="G89" s="43"/>
      <x:c r="H89" s="43"/>
      <x:c r="I89" s="43"/>
      <x:c r="J89" s="43"/>
      <x:c r="K89" s="43"/>
      <x:c r="L89" s="43"/>
      <x:c r="M89" s="43"/>
      <x:c r="N89" s="43"/>
      <x:c r="O89" s="43"/>
      <x:c r="P89" s="43"/>
      <x:c r="Q89" s="43"/>
      <x:c r="R89" s="43"/>
      <x:c r="S89" s="43"/>
      <x:c r="T89" s="43"/>
    </x:row>
    <x:row r="90" ht="50" customHeight="1">
      <x:c r="A90" s="43" t="str">
        <x:v>AERA-CR-0086</x:v>
      </x:c>
      <x:c r="B90" s="43"/>
      <x:c r="C90" s="43"/>
      <x:c r="D90" s="43"/>
      <x:c r="E90" s="43"/>
      <x:c r="F90" s="43"/>
      <x:c r="G90" s="43"/>
      <x:c r="H90" s="43"/>
      <x:c r="I90" s="43"/>
      <x:c r="J90" s="43"/>
      <x:c r="K90" s="43"/>
      <x:c r="L90" s="43"/>
      <x:c r="M90" s="43"/>
      <x:c r="N90" s="43"/>
      <x:c r="O90" s="43"/>
      <x:c r="P90" s="43"/>
      <x:c r="Q90" s="43"/>
      <x:c r="R90" s="43"/>
      <x:c r="S90" s="43"/>
      <x:c r="T90" s="43"/>
    </x:row>
    <x:row r="91" ht="50" customHeight="1">
      <x:c r="A91" s="43" t="str">
        <x:v>AERA-CR-0087</x:v>
      </x:c>
      <x:c r="B91" s="43"/>
      <x:c r="C91" s="43"/>
      <x:c r="D91" s="43"/>
      <x:c r="E91" s="43"/>
      <x:c r="F91" s="43"/>
      <x:c r="G91" s="43"/>
      <x:c r="H91" s="43"/>
      <x:c r="I91" s="43"/>
      <x:c r="J91" s="43"/>
      <x:c r="K91" s="43"/>
      <x:c r="L91" s="43"/>
      <x:c r="M91" s="43"/>
      <x:c r="N91" s="43"/>
      <x:c r="O91" s="43"/>
      <x:c r="P91" s="43"/>
      <x:c r="Q91" s="43"/>
      <x:c r="R91" s="43"/>
      <x:c r="S91" s="43"/>
      <x:c r="T91" s="43"/>
    </x:row>
    <x:row r="92" ht="50" customHeight="1">
      <x:c r="A92" s="43" t="str">
        <x:v>AERA-CR-0088</x:v>
      </x:c>
      <x:c r="B92" s="43"/>
      <x:c r="C92" s="43"/>
      <x:c r="D92" s="43"/>
      <x:c r="E92" s="43"/>
      <x:c r="F92" s="43"/>
      <x:c r="G92" s="43"/>
      <x:c r="H92" s="43"/>
      <x:c r="I92" s="43"/>
      <x:c r="J92" s="43"/>
      <x:c r="K92" s="43"/>
      <x:c r="L92" s="43"/>
      <x:c r="M92" s="43"/>
      <x:c r="N92" s="43"/>
      <x:c r="O92" s="43"/>
      <x:c r="P92" s="43"/>
      <x:c r="Q92" s="43"/>
      <x:c r="R92" s="43"/>
      <x:c r="S92" s="43"/>
      <x:c r="T92" s="43"/>
    </x:row>
    <x:row r="93" ht="50" customHeight="1">
      <x:c r="A93" s="43" t="str">
        <x:v>AERA-CR-0089</x:v>
      </x:c>
      <x:c r="B93" s="43"/>
      <x:c r="C93" s="43"/>
      <x:c r="D93" s="43"/>
      <x:c r="E93" s="43"/>
      <x:c r="F93" s="43"/>
      <x:c r="G93" s="43"/>
      <x:c r="H93" s="43"/>
      <x:c r="I93" s="43"/>
      <x:c r="J93" s="43"/>
      <x:c r="K93" s="43"/>
      <x:c r="L93" s="43"/>
      <x:c r="M93" s="43"/>
      <x:c r="N93" s="43"/>
      <x:c r="O93" s="43"/>
      <x:c r="P93" s="43"/>
      <x:c r="Q93" s="43"/>
      <x:c r="R93" s="43"/>
      <x:c r="S93" s="43"/>
      <x:c r="T93" s="43"/>
    </x:row>
    <x:row r="94" ht="50" customHeight="1">
      <x:c r="A94" s="43" t="str">
        <x:v>AERA-CR-0090</x:v>
      </x:c>
      <x:c r="B94" s="43"/>
      <x:c r="C94" s="43"/>
      <x:c r="D94" s="43"/>
      <x:c r="E94" s="43"/>
      <x:c r="F94" s="43"/>
      <x:c r="G94" s="43"/>
      <x:c r="H94" s="43"/>
      <x:c r="I94" s="43"/>
      <x:c r="J94" s="43"/>
      <x:c r="K94" s="43"/>
      <x:c r="L94" s="43"/>
      <x:c r="M94" s="43"/>
      <x:c r="N94" s="43"/>
      <x:c r="O94" s="43"/>
      <x:c r="P94" s="43"/>
      <x:c r="Q94" s="43"/>
      <x:c r="R94" s="43"/>
      <x:c r="S94" s="43"/>
      <x:c r="T94" s="43"/>
    </x:row>
    <x:row r="95" ht="50" customHeight="1">
      <x:c r="A95" s="43" t="str">
        <x:v>AERA-CR-0091</x:v>
      </x:c>
      <x:c r="B95" s="43"/>
      <x:c r="C95" s="43"/>
      <x:c r="D95" s="43"/>
      <x:c r="E95" s="43"/>
      <x:c r="F95" s="43"/>
      <x:c r="G95" s="43"/>
      <x:c r="H95" s="43"/>
      <x:c r="I95" s="43"/>
      <x:c r="J95" s="43"/>
      <x:c r="K95" s="43"/>
      <x:c r="L95" s="43"/>
      <x:c r="M95" s="43"/>
      <x:c r="N95" s="43"/>
      <x:c r="O95" s="43"/>
      <x:c r="P95" s="43"/>
      <x:c r="Q95" s="43"/>
      <x:c r="R95" s="43"/>
      <x:c r="S95" s="43"/>
      <x:c r="T95" s="43"/>
    </x:row>
    <x:row r="96" ht="50" customHeight="1">
      <x:c r="A96" s="43" t="str">
        <x:v>AERA-CR-0092</x:v>
      </x:c>
      <x:c r="B96" s="43"/>
      <x:c r="C96" s="43"/>
      <x:c r="D96" s="43"/>
      <x:c r="E96" s="43"/>
      <x:c r="F96" s="43"/>
      <x:c r="G96" s="43"/>
      <x:c r="H96" s="43"/>
      <x:c r="I96" s="43"/>
      <x:c r="J96" s="43"/>
      <x:c r="K96" s="43"/>
      <x:c r="L96" s="43"/>
      <x:c r="M96" s="43"/>
      <x:c r="N96" s="43"/>
      <x:c r="O96" s="43"/>
      <x:c r="P96" s="43"/>
      <x:c r="Q96" s="43"/>
      <x:c r="R96" s="43"/>
      <x:c r="S96" s="43"/>
      <x:c r="T96" s="43"/>
    </x:row>
    <x:row r="97" ht="50" customHeight="1">
      <x:c r="A97" s="43" t="str">
        <x:v>AERA-CR-0093</x:v>
      </x:c>
      <x:c r="B97" s="43"/>
      <x:c r="C97" s="43"/>
      <x:c r="D97" s="43"/>
      <x:c r="E97" s="43"/>
      <x:c r="F97" s="43"/>
      <x:c r="G97" s="43"/>
      <x:c r="H97" s="43"/>
      <x:c r="I97" s="43"/>
      <x:c r="J97" s="43"/>
      <x:c r="K97" s="43"/>
      <x:c r="L97" s="43"/>
      <x:c r="M97" s="43"/>
      <x:c r="N97" s="43"/>
      <x:c r="O97" s="43"/>
      <x:c r="P97" s="43"/>
      <x:c r="Q97" s="43"/>
      <x:c r="R97" s="43"/>
      <x:c r="S97" s="43"/>
      <x:c r="T97" s="43"/>
    </x:row>
    <x:row r="98" ht="50" customHeight="1">
      <x:c r="A98" s="43" t="str">
        <x:v>AERA-CR-0094</x:v>
      </x:c>
      <x:c r="B98" s="43"/>
      <x:c r="C98" s="43"/>
      <x:c r="D98" s="43"/>
      <x:c r="E98" s="43"/>
      <x:c r="F98" s="43"/>
      <x:c r="G98" s="43"/>
      <x:c r="H98" s="43"/>
      <x:c r="I98" s="43"/>
      <x:c r="J98" s="43"/>
      <x:c r="K98" s="43"/>
      <x:c r="L98" s="43"/>
      <x:c r="M98" s="43"/>
      <x:c r="N98" s="43"/>
      <x:c r="O98" s="43"/>
      <x:c r="P98" s="43"/>
      <x:c r="Q98" s="43"/>
      <x:c r="R98" s="43"/>
      <x:c r="S98" s="43"/>
      <x:c r="T98" s="43"/>
    </x:row>
    <x:row r="99" ht="50" customHeight="1">
      <x:c r="A99" s="43" t="str">
        <x:v>AERA-CR-0095</x:v>
      </x:c>
      <x:c r="B99" s="43"/>
      <x:c r="C99" s="43"/>
      <x:c r="D99" s="43"/>
      <x:c r="E99" s="43"/>
      <x:c r="F99" s="43"/>
      <x:c r="G99" s="43"/>
      <x:c r="H99" s="43"/>
      <x:c r="I99" s="43"/>
      <x:c r="J99" s="43"/>
      <x:c r="K99" s="43"/>
      <x:c r="L99" s="43"/>
      <x:c r="M99" s="43"/>
      <x:c r="N99" s="43"/>
      <x:c r="O99" s="43"/>
      <x:c r="P99" s="43"/>
      <x:c r="Q99" s="43"/>
      <x:c r="R99" s="43"/>
      <x:c r="S99" s="43"/>
      <x:c r="T99" s="43"/>
    </x:row>
    <x:row r="100" ht="50" customHeight="1">
      <x:c r="A100" s="43" t="str">
        <x:v>AERA-CR-0096</x:v>
      </x:c>
      <x:c r="B100" s="43"/>
      <x:c r="C100" s="43"/>
      <x:c r="D100" s="43"/>
      <x:c r="E100" s="43"/>
      <x:c r="F100" s="43"/>
      <x:c r="G100" s="43"/>
      <x:c r="H100" s="43"/>
      <x:c r="I100" s="43"/>
      <x:c r="J100" s="43"/>
      <x:c r="K100" s="43"/>
      <x:c r="L100" s="43"/>
      <x:c r="M100" s="43"/>
      <x:c r="N100" s="43"/>
      <x:c r="O100" s="43"/>
      <x:c r="P100" s="43"/>
      <x:c r="Q100" s="43"/>
      <x:c r="R100" s="43"/>
      <x:c r="S100" s="43"/>
      <x:c r="T100" s="43"/>
    </x:row>
    <x:row r="101" ht="50" customHeight="1">
      <x:c r="A101" s="43" t="str">
        <x:v>AERA-CR-0097</x:v>
      </x:c>
      <x:c r="B101" s="43"/>
      <x:c r="C101" s="43"/>
      <x:c r="D101" s="43"/>
      <x:c r="E101" s="43"/>
      <x:c r="F101" s="43"/>
      <x:c r="G101" s="43"/>
      <x:c r="H101" s="43"/>
      <x:c r="I101" s="43"/>
      <x:c r="J101" s="43"/>
      <x:c r="K101" s="43"/>
      <x:c r="L101" s="43"/>
      <x:c r="M101" s="43"/>
      <x:c r="N101" s="43"/>
      <x:c r="O101" s="43"/>
      <x:c r="P101" s="43"/>
      <x:c r="Q101" s="43"/>
      <x:c r="R101" s="43"/>
      <x:c r="S101" s="43"/>
      <x:c r="T101" s="43"/>
    </x:row>
    <x:row r="102" ht="50" customHeight="1">
      <x:c r="A102" s="43" t="str">
        <x:v>AERA-CR-0098</x:v>
      </x:c>
      <x:c r="B102" s="43"/>
      <x:c r="C102" s="43"/>
      <x:c r="D102" s="43"/>
      <x:c r="E102" s="43"/>
      <x:c r="F102" s="43"/>
      <x:c r="G102" s="43"/>
      <x:c r="H102" s="43"/>
      <x:c r="I102" s="43"/>
      <x:c r="J102" s="43"/>
      <x:c r="K102" s="43"/>
      <x:c r="L102" s="43"/>
      <x:c r="M102" s="43"/>
      <x:c r="N102" s="43"/>
      <x:c r="O102" s="43"/>
      <x:c r="P102" s="43"/>
      <x:c r="Q102" s="43"/>
      <x:c r="R102" s="43"/>
      <x:c r="S102" s="43"/>
      <x:c r="T102" s="43"/>
    </x:row>
    <x:row r="103" ht="50" customHeight="1">
      <x:c r="A103" s="43" t="str">
        <x:v>AERA-CR-0099</x:v>
      </x:c>
      <x:c r="B103" s="43"/>
      <x:c r="C103" s="43"/>
      <x:c r="D103" s="43"/>
      <x:c r="E103" s="43"/>
      <x:c r="F103" s="43"/>
      <x:c r="G103" s="43"/>
      <x:c r="H103" s="43"/>
      <x:c r="I103" s="43"/>
      <x:c r="J103" s="43"/>
      <x:c r="K103" s="43"/>
      <x:c r="L103" s="43"/>
      <x:c r="M103" s="43"/>
      <x:c r="N103" s="43"/>
      <x:c r="O103" s="43"/>
      <x:c r="P103" s="43"/>
      <x:c r="Q103" s="43"/>
      <x:c r="R103" s="43"/>
      <x:c r="S103" s="43"/>
      <x:c r="T103" s="43"/>
    </x:row>
    <x:row r="104" ht="50" customHeight="1">
      <x:c r="A104" s="44" t="str">
        <x:v>AERA-CR-0100</x:v>
      </x:c>
      <x:c r="B104" s="44"/>
      <x:c r="C104" s="44"/>
      <x:c r="D104" s="44"/>
      <x:c r="E104" s="44"/>
      <x:c r="F104" s="44"/>
      <x:c r="G104" s="44"/>
      <x:c r="H104" s="44"/>
      <x:c r="I104" s="44"/>
      <x:c r="J104" s="44"/>
      <x:c r="K104" s="44"/>
      <x:c r="L104" s="44"/>
      <x:c r="M104" s="44"/>
      <x:c r="N104" s="44"/>
      <x:c r="O104" s="44"/>
      <x:c r="P104" s="44"/>
      <x:c r="Q104" s="44"/>
      <x:c r="R104" s="44"/>
      <x:c r="S104" s="44"/>
      <x:c r="T104" s="44"/>
    </x:row>
  </x:sheetData>
  <x:mergeCells>
    <x:mergeCell ref="A1:T1"/>
    <x:mergeCell ref="A2:T2"/>
  </x:mergeCells>
  <x:conditionalFormatting sqref="I5:I104">
    <x:cfRule type="containsText" dxfId="0" priority="1" operator="containsText" text="Critical"/>
  </x:conditionalFormatting>
  <x:conditionalFormatting sqref="N5:N104">
    <x:cfRule type="containsText" dxfId="1" priority="2" operator="containsText" text="Open"/>
    <x:cfRule type="containsText" dxfId="2" priority="3" operator="containsText" text="Accepted"/>
  </x:conditionalFormatting>
  <x:dataValidations count="4">
    <x:dataValidation type="list" sqref="H5:H104">
      <x:formula1>"Technical,Conformance,Mapping,Evidence,Editorial,Accessibility,Release control"</x:formula1>
    </x:dataValidation>
    <x:dataValidation type="list" sqref="I5:I104">
      <x:formula1>"Critical,High,Medium,Low"</x:formula1>
    </x:dataValidation>
    <x:dataValidation type="list" sqref="N5:N104">
      <x:formula1>"Open,Accepted,Accepted with modification,Rejected,Deferred,Duplicate,Withdrawn"</x:formula1>
    </x:dataValidation>
    <x:dataValidation type="list" sqref="T5:T104">
      <x:formula1>"Not verified,Verified,Reopened"</x:formula1>
    </x:dataValidation>
  </x:dataValidations>
  <x:pageMargins left="0.7" right="0.7" top="0.75" bottom="0.75" header="0.3" footer="0.3"/>
  <x:tableParts count="1">
    <x:tablePart xmlns:r="http://schemas.openxmlformats.org/officeDocument/2006/relationships" r:id="Rd5aa6c1695eb4dbd"/>
  </x:tableParts>
</x:worksheet>
</file>

<file path=xl/worksheets/sheet2.xml><?xml version="1.0" encoding="utf-8"?>
<x:worksheet xmlns:x="http://schemas.openxmlformats.org/spreadsheetml/2006/main">
  <x:sheetFormatPr defaultRowHeight="15"/>
  <x:cols>
    <x:col min="1" max="1" width="28" hidden="0" customWidth="1"/>
    <x:col min="2" max="2" width="20" hidden="0" customWidth="1"/>
    <x:col min="3" max="3" width="4" hidden="0" customWidth="1"/>
    <x:col min="4" max="4" width="30" hidden="0" customWidth="1"/>
    <x:col min="5" max="5" width="25" hidden="0" customWidth="1"/>
    <x:col min="6" max="6" width="30" hidden="0" customWidth="1"/>
    <x:col min="7" max="7" width="30" hidden="0" customWidth="1"/>
    <x:col min="8" max="8" width="30" hidden="0" customWidth="1"/>
  </x:cols>
  <x:sheetData>
    <x:row r="1" ht="34" customHeight="1">
      <x:c r="A1" s="6" t="str">
        <x:v>AERA 1.2 WD Review Comment and Disposition Matrix</x:v>
      </x:c>
      <x:c r="B1" s="6"/>
      <x:c r="C1" s="6"/>
      <x:c r="D1" s="6"/>
      <x:c r="E1" s="6"/>
      <x:c r="F1" s="6"/>
      <x:c r="G1" s="6"/>
      <x:c r="H1" s="6"/>
    </x:row>
    <x:row r="2" ht="32" customHeight="1">
      <x:c r="A2" s="14" t="str">
        <x:v>Controlled developmental-review candidate. Every material comment must resolve to a disposition, rationale, affected artifact and target edition.</x:v>
      </x:c>
      <x:c r="B2" s="14"/>
      <x:c r="C2" s="14"/>
      <x:c r="D2" s="14"/>
      <x:c r="E2" s="14"/>
      <x:c r="F2" s="14"/>
      <x:c r="G2" s="14"/>
      <x:c r="H2" s="14"/>
    </x:row>
    <x:row r="4">
      <x:c r="A4" s="18" t="str">
        <x:v>Review measure</x:v>
      </x:c>
      <x:c r="B4" s="18" t="str">
        <x:v>Formula-derived value</x:v>
      </x:c>
      <x:c r="D4" s="22" t="str">
        <x:v>Release gates</x:v>
      </x:c>
      <x:c r="E4" s="22"/>
      <x:c r="F4" s="22"/>
      <x:c r="G4" s="22"/>
      <x:c r="H4" s="22"/>
    </x:row>
    <x:row r="5">
      <x:c r="A5" t="str">
        <x:v>Submitted comments</x:v>
      </x:c>
      <x:c r="B5" t="n">
        <x:f>COUNTA('Review Log'!J5:J104)</x:f>
        <x:v>0</x:v>
      </x:c>
      <x:c r="D5" s="26" t="str">
        <x:v>Normative text synchronized</x:v>
      </x:c>
      <x:c r="E5" t="str">
        <x:v>Required</x:v>
      </x:c>
      <x:c r="F5" t="str">
        <x:v>DOCX, PDF and requirement snapshot match</x:v>
      </x:c>
    </x:row>
    <x:row r="6">
      <x:c r="A6" t="str">
        <x:v>Open</x:v>
      </x:c>
      <x:c r="B6" t="n">
        <x:f>COUNTIF('Review Log'!N5:N104,"Open")</x:f>
        <x:v>0</x:v>
      </x:c>
      <x:c r="D6" s="26" t="str">
        <x:v>Critical comments resolved</x:v>
      </x:c>
      <x:c r="E6" t="str">
        <x:v>Required</x:v>
      </x:c>
      <x:c r="F6" t="str">
        <x:v>No open critical release blocker</x:v>
      </x:c>
    </x:row>
    <x:row r="7">
      <x:c r="A7" t="str">
        <x:v>Accepted</x:v>
      </x:c>
      <x:c r="B7" t="n">
        <x:f>COUNTIF('Review Log'!N5:N104,"Accepted")</x:f>
        <x:v>0</x:v>
      </x:c>
      <x:c r="D7" s="26" t="str">
        <x:v>Mappings adjudicated</x:v>
      </x:c>
      <x:c r="E7" t="str">
        <x:v>Required before OLIR submission</x:v>
      </x:c>
      <x:c r="F7" t="str">
        <x:v>Atomic targets, rationale and independent SME review</x:v>
      </x:c>
    </x:row>
    <x:row r="8">
      <x:c r="A8" t="str">
        <x:v>Accepted with modification</x:v>
      </x:c>
      <x:c r="B8" t="n">
        <x:f>COUNTIF('Review Log'!N5:N104,"Accepted with modification")</x:f>
        <x:v>0</x:v>
      </x:c>
      <x:c r="D8" s="26" t="str">
        <x:v>Review channel, dates and license declared</x:v>
      </x:c>
      <x:c r="E8" t="str">
        <x:v>Author decision required</x:v>
      </x:c>
      <x:c r="F8" t="str">
        <x:v>Stable URL or channel, review period, license, contribution and IP terms</x:v>
      </x:c>
    </x:row>
    <x:row r="9">
      <x:c r="A9" t="str">
        <x:v>Rejected</x:v>
      </x:c>
      <x:c r="B9" t="n">
        <x:f>COUNTIF('Review Log'!N5:N104,"Rejected")</x:f>
        <x:v>0</x:v>
      </x:c>
      <x:c r="D9" s="26" t="str">
        <x:v>Pilot evidence available</x:v>
      </x:c>
      <x:c r="E9" t="str">
        <x:v>Required before maturity/effectiveness claim</x:v>
      </x:c>
      <x:c r="F9" t="str">
        <x:v>Scope, assessor, evidence period and limitations</x:v>
      </x:c>
    </x:row>
    <x:row r="10">
      <x:c r="A10" t="str">
        <x:v>Critical severity</x:v>
      </x:c>
      <x:c r="B10" t="n">
        <x:f>COUNTIF('Review Log'!I5:I104,"Critical")</x:f>
        <x:v>0</x:v>
      </x:c>
    </x:row>
    <x:row r="11">
      <x:c r="A11" t="str">
        <x:v>Verified closed</x:v>
      </x:c>
      <x:c r="B11" t="n">
        <x:f>COUNTIF('Review Log'!T5:T104,"Verified")</x:f>
        <x:v>0</x:v>
      </x:c>
    </x:row>
    <x:row r="14" ht="40" customHeight="1">
      <x:c r="A14" s="30" t="str">
        <x:v>This workbook is an I1 publication-control artifact unless an organizationally independent reviewer is identified. It is not an independent assessment, consensus record or evidence of NIST review.</x:v>
      </x:c>
      <x:c r="B14" s="30"/>
      <x:c r="C14" s="30"/>
      <x:c r="D14" s="30"/>
      <x:c r="E14" s="30"/>
      <x:c r="F14" s="30"/>
      <x:c r="G14" s="30"/>
      <x:c r="H14" s="30"/>
    </x:row>
  </x:sheetData>
  <x:mergeCells>
    <x:mergeCell ref="A1:H1"/>
    <x:mergeCell ref="A2:H2"/>
    <x:mergeCell ref="D4:H4"/>
    <x:mergeCell ref="A14:H14"/>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8" hidden="0" customWidth="1"/>
    <x:col min="3" max="3" width="32" hidden="0" customWidth="1"/>
    <x:col min="4" max="4" width="20" hidden="0" customWidth="1"/>
  </x:cols>
  <x:sheetData>
    <x:row r="1" ht="34" customHeight="1">
      <x:c r="A1" s="6" t="str">
        <x:v>AERA 1.2 WD Review Controlled Vocabulary</x:v>
      </x:c>
      <x:c r="B1" s="6"/>
      <x:c r="C1" s="6"/>
      <x:c r="D1" s="6"/>
    </x:row>
    <x:row r="2" ht="32" customHeight="1">
      <x:c r="A2" s="14" t="str">
        <x:v>Use these exact values in the Review Log. Lists are versioned with AERA 1.2 WD; additions require controlled change.</x:v>
      </x:c>
      <x:c r="B2" s="14"/>
      <x:c r="C2" s="14"/>
      <x:c r="D2" s="14"/>
    </x:row>
    <x:row r="4">
      <x:c r="A4" s="54" t="str">
        <x:v>Category</x:v>
      </x:c>
      <x:c r="B4" s="54" t="str">
        <x:v>Severity</x:v>
      </x:c>
      <x:c r="C4" s="54" t="str">
        <x:v>Status</x:v>
      </x:c>
      <x:c r="D4" s="54" t="str">
        <x:v>Verification</x:v>
      </x:c>
    </x:row>
    <x:row r="5">
      <x:c r="A5" s="40" t="str">
        <x:v>Technical</x:v>
      </x:c>
      <x:c r="B5" s="40" t="str">
        <x:v>Critical</x:v>
      </x:c>
      <x:c r="C5" s="40" t="str">
        <x:v>Open</x:v>
      </x:c>
      <x:c r="D5" s="40" t="str">
        <x:v>Not verified</x:v>
      </x:c>
    </x:row>
    <x:row r="6">
      <x:c r="A6" s="40" t="str">
        <x:v>Conformance</x:v>
      </x:c>
      <x:c r="B6" s="40" t="str">
        <x:v>High</x:v>
      </x:c>
      <x:c r="C6" s="40" t="str">
        <x:v>Accepted</x:v>
      </x:c>
      <x:c r="D6" s="40" t="str">
        <x:v>Verified</x:v>
      </x:c>
    </x:row>
    <x:row r="7">
      <x:c r="A7" s="40" t="str">
        <x:v>Mapping</x:v>
      </x:c>
      <x:c r="B7" s="40" t="str">
        <x:v>Medium</x:v>
      </x:c>
      <x:c r="C7" s="40" t="str">
        <x:v>Accepted with modification</x:v>
      </x:c>
      <x:c r="D7" s="40" t="str">
        <x:v>Reopened</x:v>
      </x:c>
    </x:row>
    <x:row r="8">
      <x:c r="A8" s="40" t="str">
        <x:v>Evidence</x:v>
      </x:c>
      <x:c r="B8" s="40" t="str">
        <x:v>Low</x:v>
      </x:c>
      <x:c r="C8" s="40" t="str">
        <x:v>Rejected</x:v>
      </x:c>
      <x:c r="D8" s="40"/>
    </x:row>
    <x:row r="9">
      <x:c r="A9" s="40" t="str">
        <x:v>Editorial</x:v>
      </x:c>
      <x:c r="B9" s="40"/>
      <x:c r="C9" s="40" t="str">
        <x:v>Deferred</x:v>
      </x:c>
      <x:c r="D9" s="40"/>
    </x:row>
    <x:row r="10">
      <x:c r="A10" s="40" t="str">
        <x:v>Accessibility</x:v>
      </x:c>
      <x:c r="B10" s="40"/>
      <x:c r="C10" s="40" t="str">
        <x:v>Duplicate</x:v>
      </x:c>
      <x:c r="D10" s="40"/>
    </x:row>
    <x:row r="11">
      <x:c r="A11" s="40" t="str">
        <x:v>Release control</x:v>
      </x:c>
      <x:c r="B11" s="40"/>
      <x:c r="C11" s="40" t="str">
        <x:v>Withdrawn</x:v>
      </x:c>
      <x:c r="D11" s="40"/>
    </x:row>
  </x:sheetData>
  <x:mergeCells>
    <x:mergeCell ref="A1:D1"/>
    <x:mergeCell ref="A2:D2"/>
  </x:mergeCells>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12" hidden="0" customWidth="1"/>
    <x:col min="3" max="3" width="78" hidden="0" customWidth="1"/>
    <x:col min="4" max="4" width="22" hidden="0" customWidth="1"/>
    <x:col min="5" max="5" width="18" hidden="0" customWidth="1"/>
    <x:col min="6" max="6" width="20" hidden="0" customWidth="1"/>
    <x:col min="7" max="7" width="18" hidden="0" customWidth="1"/>
    <x:col min="8" max="8" width="22" hidden="0" customWidth="1"/>
    <x:col min="9" max="9" width="22" hidden="0" customWidth="1"/>
    <x:col min="10" max="10" width="22" hidden="0" customWidth="1"/>
    <x:col min="11" max="11" width="22" hidden="0" customWidth="1"/>
    <x:col min="12" max="12" width="48" hidden="0" customWidth="1"/>
    <x:col min="13" max="13" width="32" hidden="0" customWidth="1"/>
    <x:col min="14" max="14" width="14" hidden="0" customWidth="1"/>
    <x:col min="15" max="15" width="26" hidden="0" customWidth="1"/>
    <x:col min="16" max="16" width="42" hidden="0" customWidth="1"/>
  </x:cols>
  <x:sheetData>
    <x:row r="1" ht="30" customHeight="1">
      <x:c r="A1" s="124" t="str">
        <x:v>﻿ID</x:v>
      </x:c>
      <x:c r="B1" s="125" t="str">
        <x:v>Family</x:v>
      </x:c>
      <x:c r="C1" s="125" t="str">
        <x:v>Normative Text</x:v>
      </x:c>
      <x:c r="D1" s="125" t="str">
        <x:v>Primary verification method</x:v>
      </x:c>
      <x:c r="E1" s="125" t="str">
        <x:v>Lifecycle status</x:v>
      </x:c>
      <x:c r="F1" s="125" t="str">
        <x:v>Introduced in</x:v>
      </x:c>
      <x:c r="G1" s="125" t="str">
        <x:v>Changed in</x:v>
      </x:c>
      <x:c r="H1" s="125" t="str">
        <x:v>Parent ID</x:v>
      </x:c>
      <x:c r="I1" s="125" t="str">
        <x:v>Refines</x:v>
      </x:c>
      <x:c r="J1" s="125" t="str">
        <x:v>Supersedes</x:v>
      </x:c>
      <x:c r="K1" s="125" t="str">
        <x:v>Superseded by</x:v>
      </x:c>
      <x:c r="L1" s="125" t="str">
        <x:v>Semantic delta</x:v>
      </x:c>
      <x:c r="M1" s="125" t="str">
        <x:v>Default applicability</x:v>
      </x:c>
      <x:c r="N1" s="125" t="str">
        <x:v>Edition</x:v>
      </x:c>
      <x:c r="O1" s="125" t="str">
        <x:v>Build ID</x:v>
      </x:c>
      <x:c r="P1" s="126" t="str">
        <x:v>Canonical source</x:v>
      </x:c>
    </x:row>
    <x:row r="2" ht="60" customHeight="1">
      <x:c r="A2" s="97" t="str">
        <x:v>AERA-ACTOR-001</x:v>
      </x:c>
      <x:c r="B2" s="98" t="str">
        <x:v>ACTOR</x:v>
      </x:c>
      <x:c r="C2" s="98" t="str">
        <x:v>Each actor SHALL have workload identity, owner, role, competency basis, configuration, tool/data rights, consequence ceiling, lifecycle state, and retirement/suspension.</x:v>
      </x:c>
      <x:c r="D2" s="98" t="str">
        <x:v>I, T</x:v>
      </x:c>
      <x:c r="E2" s="98" t="str">
        <x:v>PROPOSED</x:v>
      </x:c>
      <x:c r="F2" s="98" t="str">
        <x:v>1.1 RC1 or earlier - lineage pending</x:v>
      </x:c>
      <x:c r="G2" s="98" t="str"/>
      <x:c r="H2" s="98" t="str"/>
      <x:c r="I2" s="98" t="str"/>
      <x:c r="J2" s="98" t="str"/>
      <x:c r="K2" s="98" t="str"/>
      <x:c r="L2" s="98" t="str"/>
      <x:c r="M2" s="98" t="str">
        <x:v>UNDETERMINED - claim-specific profile matrix required</x:v>
      </x:c>
      <x:c r="N2" s="98" t="str">
        <x:v>1.2 WD</x:v>
      </x:c>
      <x:c r="O2" s="98" t="str">
        <x:v>AERA-001-1.2WD-20260807.1</x:v>
      </x:c>
      <x:c r="P2" s="99" t="str">
        <x:v>Authoritative PDF Appendix A; generated from controlled source</x:v>
      </x:c>
    </x:row>
    <x:row r="3" ht="60" customHeight="1">
      <x:c r="A3" s="97" t="str">
        <x:v>AERA-ACTOR-002</x:v>
      </x:c>
      <x:c r="B3" s="98" t="str">
        <x:v>ACTOR</x:v>
      </x:c>
      <x:c r="C3" s="98" t="str">
        <x:v>Before consequential proposal/effect, the implementation SHALL verify actor identity and consequence-material model, context, orchestration, tool, and runtime integrity against approved or declared degraded state.</x:v>
      </x:c>
      <x:c r="D3" s="98" t="str">
        <x:v>I, T</x:v>
      </x:c>
      <x:c r="E3" s="98" t="str">
        <x:v>PROPOSED</x:v>
      </x:c>
      <x:c r="F3" s="98" t="str">
        <x:v>1.1 RC1 or earlier - lineage pending</x:v>
      </x:c>
      <x:c r="G3" s="98" t="str"/>
      <x:c r="H3" s="98" t="str"/>
      <x:c r="I3" s="98" t="str"/>
      <x:c r="J3" s="98" t="str"/>
      <x:c r="K3" s="98" t="str"/>
      <x:c r="L3" s="98" t="str"/>
      <x:c r="M3" s="98" t="str">
        <x:v>UNDETERMINED - claim-specific profile matrix required</x:v>
      </x:c>
      <x:c r="N3" s="98" t="str">
        <x:v>1.2 WD</x:v>
      </x:c>
      <x:c r="O3" s="98" t="str">
        <x:v>AERA-001-1.2WD-20260807.1</x:v>
      </x:c>
      <x:c r="P3" s="99" t="str">
        <x:v>Authoritative PDF Appendix A; generated from controlled source</x:v>
      </x:c>
    </x:row>
    <x:row r="4" ht="60" customHeight="1">
      <x:c r="A4" s="97" t="str">
        <x:v>AERA-ACTOR-003</x:v>
      </x:c>
      <x:c r="B4" s="98" t="str">
        <x:v>ACTOR</x:v>
      </x:c>
      <x:c r="C4" s="98" t="str">
        <x:v>Actors SHALL NOT subdelegate unless expressly permitted; permitted subdelegation SHALL preserve constraints/attribution and SHALL NOT increase scope, consequence, duration, tools, targets, or data rights.</x:v>
      </x:c>
      <x:c r="D4" s="98" t="str">
        <x:v>A, T</x:v>
      </x:c>
      <x:c r="E4" s="98" t="str">
        <x:v>PROPOSED</x:v>
      </x:c>
      <x:c r="F4" s="98" t="str">
        <x:v>1.1 RC1 or earlier - lineage pending</x:v>
      </x:c>
      <x:c r="G4" s="98" t="str"/>
      <x:c r="H4" s="98" t="str"/>
      <x:c r="I4" s="98" t="str"/>
      <x:c r="J4" s="98" t="str"/>
      <x:c r="K4" s="98" t="str"/>
      <x:c r="L4" s="98" t="str"/>
      <x:c r="M4" s="98" t="str">
        <x:v>UNDETERMINED - claim-specific profile matrix required</x:v>
      </x:c>
      <x:c r="N4" s="98" t="str">
        <x:v>1.2 WD</x:v>
      </x:c>
      <x:c r="O4" s="98" t="str">
        <x:v>AERA-001-1.2WD-20260807.1</x:v>
      </x:c>
      <x:c r="P4" s="99" t="str">
        <x:v>Authoritative PDF Appendix A; generated from controlled source</x:v>
      </x:c>
    </x:row>
    <x:row r="5" ht="60" customHeight="1">
      <x:c r="A5" s="97" t="str">
        <x:v>AERA-AUTH-001</x:v>
      </x:c>
      <x:c r="B5" s="98" t="str">
        <x:v>AUTH</x:v>
      </x:c>
      <x:c r="C5" s="98" t="str">
        <x:v>Every material autonomous action SHALL resolve at authorization time to a current, attributable, revocable delegation from an accountable grantor.</x:v>
      </x:c>
      <x:c r="D5" s="98" t="str">
        <x:v>I, T, D</x:v>
      </x:c>
      <x:c r="E5" s="98" t="str">
        <x:v>PROPOSED</x:v>
      </x:c>
      <x:c r="F5" s="98" t="str">
        <x:v>1.1 RC1 or earlier - lineage pending</x:v>
      </x:c>
      <x:c r="G5" s="98" t="str"/>
      <x:c r="H5" s="98" t="str"/>
      <x:c r="I5" s="98" t="str"/>
      <x:c r="J5" s="98" t="str"/>
      <x:c r="K5" s="98" t="str"/>
      <x:c r="L5" s="98" t="str"/>
      <x:c r="M5" s="98" t="str">
        <x:v>UNDETERMINED - claim-specific profile matrix required</x:v>
      </x:c>
      <x:c r="N5" s="98" t="str">
        <x:v>1.2 WD</x:v>
      </x:c>
      <x:c r="O5" s="98" t="str">
        <x:v>AERA-001-1.2WD-20260807.1</x:v>
      </x:c>
      <x:c r="P5" s="99" t="str">
        <x:v>Authoritative PDF Appendix A; generated from controlled source</x:v>
      </x:c>
    </x:row>
    <x:row r="6" ht="60" customHeight="1">
      <x:c r="A6" s="97" t="str">
        <x:v>AERA-AUTH-002</x:v>
      </x:c>
      <x:c r="B6" s="98" t="str">
        <x:v>AUTH</x:v>
      </x:c>
      <x:c r="C6" s="98" t="str">
        <x:v>A delegation SHALL state grantor, grantee, permitted decisions/effects, target/domain, context, prohibitions, consequence ceiling, validity, evidence, subdelegation, escalation, and revocation.</x:v>
      </x:c>
      <x:c r="D6" s="98" t="str">
        <x:v>I, T</x:v>
      </x:c>
      <x:c r="E6" s="98" t="str">
        <x:v>PROPOSED</x:v>
      </x:c>
      <x:c r="F6" s="98" t="str">
        <x:v>1.1 RC1 or earlier - lineage pending</x:v>
      </x:c>
      <x:c r="G6" s="98" t="str"/>
      <x:c r="H6" s="98" t="str"/>
      <x:c r="I6" s="98" t="str"/>
      <x:c r="J6" s="98" t="str"/>
      <x:c r="K6" s="98" t="str"/>
      <x:c r="L6" s="98" t="str"/>
      <x:c r="M6" s="98" t="str">
        <x:v>UNDETERMINED - claim-specific profile matrix required</x:v>
      </x:c>
      <x:c r="N6" s="98" t="str">
        <x:v>1.2 WD</x:v>
      </x:c>
      <x:c r="O6" s="98" t="str">
        <x:v>AERA-001-1.2WD-20260807.1</x:v>
      </x:c>
      <x:c r="P6" s="99" t="str">
        <x:v>Authoritative PDF Appendix A; generated from controlled source</x:v>
      </x:c>
    </x:row>
    <x:row r="7" ht="60" customHeight="1">
      <x:c r="A7" s="97" t="str">
        <x:v>AERA-AUTH-003</x:v>
      </x:c>
      <x:c r="B7" s="98" t="str">
        <x:v>AUTH</x:v>
      </x:c>
      <x:c r="C7" s="98" t="str">
        <x:v>Revoking delegation, identity, policy, or actor SHALL invalidate and propagate withdrawal to all unexecuted derived authorizations within a declared consequence-specific bound.</x:v>
      </x:c>
      <x:c r="D7" s="98" t="str">
        <x:v>A, T</x:v>
      </x:c>
      <x:c r="E7" s="98" t="str">
        <x:v>PROPOSED</x:v>
      </x:c>
      <x:c r="F7" s="98" t="str">
        <x:v>1.1 RC1 or earlier - lineage pending</x:v>
      </x:c>
      <x:c r="G7" s="98" t="str"/>
      <x:c r="H7" s="98" t="str"/>
      <x:c r="I7" s="98" t="str"/>
      <x:c r="J7" s="98" t="str"/>
      <x:c r="K7" s="98" t="str"/>
      <x:c r="L7" s="98" t="str"/>
      <x:c r="M7" s="98" t="str">
        <x:v>UNDETERMINED - claim-specific profile matrix required</x:v>
      </x:c>
      <x:c r="N7" s="98" t="str">
        <x:v>1.2 WD</x:v>
      </x:c>
      <x:c r="O7" s="98" t="str">
        <x:v>AERA-001-1.2WD-20260807.1</x:v>
      </x:c>
      <x:c r="P7" s="99" t="str">
        <x:v>Authoritative PDF Appendix A; generated from controlled source</x:v>
      </x:c>
    </x:row>
    <x:row r="8" ht="60" customHeight="1">
      <x:c r="A8" s="97" t="str">
        <x:v>AERA-AUTH-101</x:v>
      </x:c>
      <x:c r="B8" s="98" t="str">
        <x:v>AUTH</x:v>
      </x:c>
      <x:c r="C8" s="98" t="str">
        <x:v>Every autonomous material effect SHALL resolve to a current, attributable, revocable delegation rooted in an accountable authority.</x:v>
      </x:c>
      <x:c r="D8" s="98" t="str">
        <x:v>I, A, T</x:v>
      </x:c>
      <x:c r="E8" s="98" t="str">
        <x:v>PROPOSED</x:v>
      </x:c>
      <x:c r="F8" s="98" t="str">
        <x:v>1.1 RC1 or earlier - lineage pending</x:v>
      </x:c>
      <x:c r="G8" s="98" t="str"/>
      <x:c r="H8" s="98" t="str"/>
      <x:c r="I8" s="98" t="str"/>
      <x:c r="J8" s="98" t="str"/>
      <x:c r="K8" s="98" t="str"/>
      <x:c r="L8" s="98" t="str"/>
      <x:c r="M8" s="98" t="str">
        <x:v>UNDETERMINED - claim-specific profile matrix required</x:v>
      </x:c>
      <x:c r="N8" s="98" t="str">
        <x:v>1.2 WD</x:v>
      </x:c>
      <x:c r="O8" s="98" t="str">
        <x:v>AERA-001-1.2WD-20260807.1</x:v>
      </x:c>
      <x:c r="P8" s="99" t="str">
        <x:v>Authoritative PDF Appendix A; generated from controlled source</x:v>
      </x:c>
    </x:row>
    <x:row r="9" ht="60" customHeight="1">
      <x:c r="A9" s="97" t="str">
        <x:v>AERA-AUTH-102</x:v>
      </x:c>
      <x:c r="B9" s="98" t="str">
        <x:v>AUTH</x:v>
      </x:c>
      <x:c r="C9" s="98" t="str">
        <x:v>Possession of credentials, resource access, network reachability, tool availability, model registration, or prior approval SHALL NOT be treated as decision authority.</x:v>
      </x:c>
      <x:c r="D9" s="98" t="str">
        <x:v>I, T</x:v>
      </x:c>
      <x:c r="E9" s="98" t="str">
        <x:v>PROPOSED</x:v>
      </x:c>
      <x:c r="F9" s="98" t="str">
        <x:v>1.1 RC1 or earlier - lineage pending</x:v>
      </x:c>
      <x:c r="G9" s="98" t="str"/>
      <x:c r="H9" s="98" t="str"/>
      <x:c r="I9" s="98" t="str"/>
      <x:c r="J9" s="98" t="str"/>
      <x:c r="K9" s="98" t="str"/>
      <x:c r="L9" s="98" t="str"/>
      <x:c r="M9" s="98" t="str">
        <x:v>UNDETERMINED - claim-specific profile matrix required</x:v>
      </x:c>
      <x:c r="N9" s="98" t="str">
        <x:v>1.2 WD</x:v>
      </x:c>
      <x:c r="O9" s="98" t="str">
        <x:v>AERA-001-1.2WD-20260807.1</x:v>
      </x:c>
      <x:c r="P9" s="99" t="str">
        <x:v>Authoritative PDF Appendix A; generated from controlled source</x:v>
      </x:c>
    </x:row>
    <x:row r="10" ht="60" customHeight="1">
      <x:c r="A10" s="97" t="str">
        <x:v>AERA-AUTH-103</x:v>
      </x:c>
      <x:c r="B10" s="98" t="str">
        <x:v>AUTH</x:v>
      </x:c>
      <x:c r="C10" s="98" t="str">
        <x:v>A delegation SHALL state subject, issuer, permitted actions, targets, purposes, effects, boundaries, consequence ceiling, validity, predicates, prohibitions, and revocation semantics.</x:v>
      </x:c>
      <x:c r="D10" s="98" t="str">
        <x:v>I</x:v>
      </x:c>
      <x:c r="E10" s="98" t="str">
        <x:v>PROPOSED</x:v>
      </x:c>
      <x:c r="F10" s="98" t="str">
        <x:v>1.1 RC1 or earlier - lineage pending</x:v>
      </x:c>
      <x:c r="G10" s="98" t="str"/>
      <x:c r="H10" s="98" t="str"/>
      <x:c r="I10" s="98" t="str"/>
      <x:c r="J10" s="98" t="str"/>
      <x:c r="K10" s="98" t="str"/>
      <x:c r="L10" s="98" t="str"/>
      <x:c r="M10" s="98" t="str">
        <x:v>UNDETERMINED - claim-specific profile matrix required</x:v>
      </x:c>
      <x:c r="N10" s="98" t="str">
        <x:v>1.2 WD</x:v>
      </x:c>
      <x:c r="O10" s="98" t="str">
        <x:v>AERA-001-1.2WD-20260807.1</x:v>
      </x:c>
      <x:c r="P10" s="99" t="str">
        <x:v>Authoritative PDF Appendix A; generated from controlled source</x:v>
      </x:c>
    </x:row>
    <x:row r="11" ht="60" customHeight="1">
      <x:c r="A11" s="97" t="str">
        <x:v>AERA-AUTH-104</x:v>
      </x:c>
      <x:c r="B11" s="98" t="str">
        <x:v>AUTH</x:v>
      </x:c>
      <x:c r="C11" s="98" t="str">
        <x:v>Subdelegation SHALL be prohibited unless every applicable parent grant explicitly permits it.</x:v>
      </x:c>
      <x:c r="D11" s="98" t="str">
        <x:v>I, T</x:v>
      </x:c>
      <x:c r="E11" s="98" t="str">
        <x:v>PROPOSED</x:v>
      </x:c>
      <x:c r="F11" s="98" t="str">
        <x:v>1.1 RC1 or earlier - lineage pending</x:v>
      </x:c>
      <x:c r="G11" s="98" t="str"/>
      <x:c r="H11" s="98" t="str"/>
      <x:c r="I11" s="98" t="str"/>
      <x:c r="J11" s="98" t="str"/>
      <x:c r="K11" s="98" t="str"/>
      <x:c r="L11" s="98" t="str"/>
      <x:c r="M11" s="98" t="str">
        <x:v>UNDETERMINED - claim-specific profile matrix required</x:v>
      </x:c>
      <x:c r="N11" s="98" t="str">
        <x:v>1.2 WD</x:v>
      </x:c>
      <x:c r="O11" s="98" t="str">
        <x:v>AERA-001-1.2WD-20260807.1</x:v>
      </x:c>
      <x:c r="P11" s="99" t="str">
        <x:v>Authoritative PDF Appendix A; generated from controlled source</x:v>
      </x:c>
    </x:row>
    <x:row r="12" ht="60" customHeight="1">
      <x:c r="A12" s="97" t="str">
        <x:v>AERA-AUTH-105</x:v>
      </x:c>
      <x:c r="B12" s="98" t="str">
        <x:v>AUTH</x:v>
      </x:c>
      <x:c r="C12" s="98" t="str">
        <x:v>A child grant SHALL NOT expand the scope, duration, use, resource, consequence, oversight, evidence, enforcement, or recovery authority of its effective parent chain.</x:v>
      </x:c>
      <x:c r="D12" s="98" t="str">
        <x:v>A, T</x:v>
      </x:c>
      <x:c r="E12" s="98" t="str">
        <x:v>PROPOSED</x:v>
      </x:c>
      <x:c r="F12" s="98" t="str">
        <x:v>1.1 RC1 or earlier - lineage pending</x:v>
      </x:c>
      <x:c r="G12" s="98" t="str"/>
      <x:c r="H12" s="98" t="str"/>
      <x:c r="I12" s="98" t="str"/>
      <x:c r="J12" s="98" t="str"/>
      <x:c r="K12" s="98" t="str"/>
      <x:c r="L12" s="98" t="str"/>
      <x:c r="M12" s="98" t="str">
        <x:v>UNDETERMINED - claim-specific profile matrix required</x:v>
      </x:c>
      <x:c r="N12" s="98" t="str">
        <x:v>1.2 WD</x:v>
      </x:c>
      <x:c r="O12" s="98" t="str">
        <x:v>AERA-001-1.2WD-20260807.1</x:v>
      </x:c>
      <x:c r="P12" s="99" t="str">
        <x:v>Authoritative PDF Appendix A; generated from controlled source</x:v>
      </x:c>
    </x:row>
    <x:row r="13" ht="60" customHeight="1">
      <x:c r="A13" s="97" t="str">
        <x:v>AERA-AUTH-106</x:v>
      </x:c>
      <x:c r="B13" s="98" t="str">
        <x:v>AUTH</x:v>
      </x:c>
      <x:c r="C13" s="98" t="str">
        <x:v>Expiration or revocation of a parent grant SHALL invalidate dependent grants within the maximum propagation time defined by policy.</x:v>
      </x:c>
      <x:c r="D13" s="98" t="str">
        <x:v>I, T</x:v>
      </x:c>
      <x:c r="E13" s="98" t="str">
        <x:v>PROPOSED</x:v>
      </x:c>
      <x:c r="F13" s="98" t="str">
        <x:v>1.1 RC1 or earlier - lineage pending</x:v>
      </x:c>
      <x:c r="G13" s="98" t="str"/>
      <x:c r="H13" s="98" t="str"/>
      <x:c r="I13" s="98" t="str"/>
      <x:c r="J13" s="98" t="str"/>
      <x:c r="K13" s="98" t="str"/>
      <x:c r="L13" s="98" t="str"/>
      <x:c r="M13" s="98" t="str">
        <x:v>UNDETERMINED - claim-specific profile matrix required</x:v>
      </x:c>
      <x:c r="N13" s="98" t="str">
        <x:v>1.2 WD</x:v>
      </x:c>
      <x:c r="O13" s="98" t="str">
        <x:v>AERA-001-1.2WD-20260807.1</x:v>
      </x:c>
      <x:c r="P13" s="99" t="str">
        <x:v>Authoritative PDF Appendix A; generated from controlled source</x:v>
      </x:c>
    </x:row>
    <x:row r="14" ht="60" customHeight="1">
      <x:c r="A14" s="97" t="str">
        <x:v>AERA-AUTH-107</x:v>
      </x:c>
      <x:c r="B14" s="98" t="str">
        <x:v>AUTH</x:v>
      </x:c>
      <x:c r="C14" s="98" t="str">
        <x:v>The DAF SHALL validate the complete effective delegation chain, including issuer authority, integrity, revocation, attenuation, and applicable prohibitions.</x:v>
      </x:c>
      <x:c r="D14" s="98" t="str">
        <x:v>I, A, T</x:v>
      </x:c>
      <x:c r="E14" s="98" t="str">
        <x:v>PROPOSED</x:v>
      </x:c>
      <x:c r="F14" s="98" t="str">
        <x:v>1.1 RC1 or earlier - lineage pending</x:v>
      </x:c>
      <x:c r="G14" s="98" t="str"/>
      <x:c r="H14" s="98" t="str"/>
      <x:c r="I14" s="98" t="str"/>
      <x:c r="J14" s="98" t="str"/>
      <x:c r="K14" s="98" t="str"/>
      <x:c r="L14" s="98" t="str"/>
      <x:c r="M14" s="98" t="str">
        <x:v>UNDETERMINED - claim-specific profile matrix required</x:v>
      </x:c>
      <x:c r="N14" s="98" t="str">
        <x:v>1.2 WD</x:v>
      </x:c>
      <x:c r="O14" s="98" t="str">
        <x:v>AERA-001-1.2WD-20260807.1</x:v>
      </x:c>
      <x:c r="P14" s="99" t="str">
        <x:v>Authoritative PDF Appendix A; generated from controlled source</x:v>
      </x:c>
    </x:row>
    <x:row r="15" ht="60" customHeight="1">
      <x:c r="A15" s="97" t="str">
        <x:v>AERA-AUTH-108</x:v>
      </x:c>
      <x:c r="B15" s="98" t="str">
        <x:v>AUTH</x:v>
      </x:c>
      <x:c r="C15" s="98" t="str">
        <x:v>An applicable explicit deny or higher-precedence prohibition SHALL prevail over a lower-precedence allow.</x:v>
      </x:c>
      <x:c r="D15" s="98" t="str">
        <x:v>I, T</x:v>
      </x:c>
      <x:c r="E15" s="98" t="str">
        <x:v>PROPOSED</x:v>
      </x:c>
      <x:c r="F15" s="98" t="str">
        <x:v>1.1 RC1 or earlier - lineage pending</x:v>
      </x:c>
      <x:c r="G15" s="98" t="str"/>
      <x:c r="H15" s="98" t="str"/>
      <x:c r="I15" s="98" t="str"/>
      <x:c r="J15" s="98" t="str"/>
      <x:c r="K15" s="98" t="str"/>
      <x:c r="L15" s="98" t="str"/>
      <x:c r="M15" s="98" t="str">
        <x:v>UNDETERMINED - claim-specific profile matrix required</x:v>
      </x:c>
      <x:c r="N15" s="98" t="str">
        <x:v>1.2 WD</x:v>
      </x:c>
      <x:c r="O15" s="98" t="str">
        <x:v>AERA-001-1.2WD-20260807.1</x:v>
      </x:c>
      <x:c r="P15" s="99" t="str">
        <x:v>Authoritative PDF Appendix A; generated from controlled source</x:v>
      </x:c>
    </x:row>
    <x:row r="16" ht="60" customHeight="1">
      <x:c r="A16" s="97" t="str">
        <x:v>AERA-AUTH-109</x:v>
      </x:c>
      <x:c r="B16" s="98" t="str">
        <x:v>AUTH</x:v>
      </x:c>
      <x:c r="C16" s="98" t="str">
        <x:v>Emergency authority SHALL be purpose-limited, time-bounded, attributable, auditable, and unable to override constraints that the issuer lacks authority to modify.</x:v>
      </x:c>
      <x:c r="D16" s="98" t="str">
        <x:v>I, A, T</x:v>
      </x:c>
      <x:c r="E16" s="98" t="str">
        <x:v>PROPOSED</x:v>
      </x:c>
      <x:c r="F16" s="98" t="str">
        <x:v>1.1 RC1 or earlier - lineage pending</x:v>
      </x:c>
      <x:c r="G16" s="98" t="str"/>
      <x:c r="H16" s="98" t="str"/>
      <x:c r="I16" s="98" t="str"/>
      <x:c r="J16" s="98" t="str"/>
      <x:c r="K16" s="98" t="str"/>
      <x:c r="L16" s="98" t="str"/>
      <x:c r="M16" s="98" t="str">
        <x:v>UNDETERMINED - claim-specific profile matrix required</x:v>
      </x:c>
      <x:c r="N16" s="98" t="str">
        <x:v>1.2 WD</x:v>
      </x:c>
      <x:c r="O16" s="98" t="str">
        <x:v>AERA-001-1.2WD-20260807.1</x:v>
      </x:c>
      <x:c r="P16" s="99" t="str">
        <x:v>Authoritative PDF Appendix A; generated from controlled source</x:v>
      </x:c>
    </x:row>
    <x:row r="17" ht="60" customHeight="1">
      <x:c r="A17" s="97" t="str">
        <x:v>AERA-AUTH-110</x:v>
      </x:c>
      <x:c r="B17" s="98" t="str">
        <x:v>AUTH</x:v>
      </x:c>
      <x:c r="C17" s="98" t="str">
        <x:v>A disconnected-operation grant SHALL define duration, decision scope, consequence ceiling, local evidence and time requirements, reconciliation, and behavior when any bound is exceeded.</x:v>
      </x:c>
      <x:c r="D17" s="98" t="str">
        <x:v>I, A, T</x:v>
      </x:c>
      <x:c r="E17" s="98" t="str">
        <x:v>PROPOSED</x:v>
      </x:c>
      <x:c r="F17" s="98" t="str">
        <x:v>1.1 RC1 or earlier - lineage pending</x:v>
      </x:c>
      <x:c r="G17" s="98" t="str"/>
      <x:c r="H17" s="98" t="str"/>
      <x:c r="I17" s="98" t="str"/>
      <x:c r="J17" s="98" t="str"/>
      <x:c r="K17" s="98" t="str"/>
      <x:c r="L17" s="98" t="str"/>
      <x:c r="M17" s="98" t="str">
        <x:v>UNDETERMINED - claim-specific profile matrix required</x:v>
      </x:c>
      <x:c r="N17" s="98" t="str">
        <x:v>1.2 WD</x:v>
      </x:c>
      <x:c r="O17" s="98" t="str">
        <x:v>AERA-001-1.2WD-20260807.1</x:v>
      </x:c>
      <x:c r="P17" s="99" t="str">
        <x:v>Authoritative PDF Appendix A; generated from controlled source</x:v>
      </x:c>
    </x:row>
    <x:row r="18" ht="60" customHeight="1">
      <x:c r="A18" s="97" t="str">
        <x:v>AERA-CONF-001</x:v>
      </x:c>
      <x:c r="B18" s="98" t="str">
        <x:v>CONF</x:v>
      </x:c>
      <x:c r="C18" s="98" t="str">
        <x:v>A formal conformance claim SHALL identify the AERA version, profile, claimant, subject, decision population, architectural and operational boundaries, consequence scope, dependencies, inherited controls, exclusions, assessment-independence level, evidence-package identifier and assessment date, deviations, and date-based and event-based expiration conditions.</x:v>
      </x:c>
      <x:c r="D18" s="98" t="str">
        <x:v>I, A</x:v>
      </x:c>
      <x:c r="E18" s="98" t="str">
        <x:v>PROPOSED</x:v>
      </x:c>
      <x:c r="F18" s="98" t="str">
        <x:v>1.1 RC1 or earlier - lineage pending</x:v>
      </x:c>
      <x:c r="G18" s="98" t="str"/>
      <x:c r="H18" s="98" t="str"/>
      <x:c r="I18" s="98" t="str"/>
      <x:c r="J18" s="98" t="str"/>
      <x:c r="K18" s="98" t="str"/>
      <x:c r="L18" s="98" t="str"/>
      <x:c r="M18" s="98" t="str">
        <x:v>UNDETERMINED - claim-specific profile matrix required</x:v>
      </x:c>
      <x:c r="N18" s="98" t="str">
        <x:v>1.2 WD</x:v>
      </x:c>
      <x:c r="O18" s="98" t="str">
        <x:v>AERA-001-1.2WD-20260807.1</x:v>
      </x:c>
      <x:c r="P18" s="99" t="str">
        <x:v>Authoritative PDF Appendix A; generated from controlled source</x:v>
      </x:c>
    </x:row>
    <x:row r="19" ht="60" customHeight="1">
      <x:c r="A19" s="97" t="str">
        <x:v>AERA-CONF-002</x:v>
      </x:c>
      <x:c r="B19" s="98" t="str">
        <x:v>CONF</x:v>
      </x:c>
      <x:c r="C19" s="98" t="str">
        <x:v>For every requirement in the declared core and profile set, the claimant SHALL record applicability as APPLICABLE or NOT APPLICABLE separately from the assessment result; an APPLICABLE item SHALL be assessed SATISFIED, NOT SATISFIED, INDETERMINATE, or APPROVED DEVIATION, while a NOT APPLICABLE item SHALL identify rationale, evidence, approving authority, and invalidating conditions and SHALL NOT carry a satisfaction result.</x:v>
      </x:c>
      <x:c r="D19" s="98" t="str">
        <x:v>I, A</x:v>
      </x:c>
      <x:c r="E19" s="98" t="str">
        <x:v>PROPOSED</x:v>
      </x:c>
      <x:c r="F19" s="98" t="str">
        <x:v>1.1 RC1 or earlier - lineage pending</x:v>
      </x:c>
      <x:c r="G19" s="98" t="str">
        <x:v>1.2 WD</x:v>
      </x:c>
      <x:c r="H19" s="98" t="str"/>
      <x:c r="I19" s="98" t="str"/>
      <x:c r="J19" s="98" t="str"/>
      <x:c r="K19" s="98" t="str"/>
      <x:c r="L19" s="98" t="str">
        <x:v>Separated applicability from assessment result and added rationale, approval and invalidation metadata.</x:v>
      </x:c>
      <x:c r="M19" s="98" t="str">
        <x:v>UNDETERMINED - claim-specific profile matrix required</x:v>
      </x:c>
      <x:c r="N19" s="98" t="str">
        <x:v>1.2 WD</x:v>
      </x:c>
      <x:c r="O19" s="98" t="str">
        <x:v>AERA-001-1.2WD-20260807.1</x:v>
      </x:c>
      <x:c r="P19" s="99" t="str">
        <x:v>Authoritative PDF Appendix A; generated from controlled source</x:v>
      </x:c>
    </x:row>
    <x:row r="20" ht="60" customHeight="1">
      <x:c r="A20" s="97" t="str">
        <x:v>AERA-CONF-003</x:v>
      </x:c>
      <x:c r="B20" s="98" t="str">
        <x:v>CONF</x:v>
      </x:c>
      <x:c r="C20" s="98" t="str">
        <x:v>For each consequence-material capability, source, or control cited by an operational claim, the claimant SHALL identify the typed state model, report the highest evidenced control-deployment state as PRESENT, MONITORED, ACTIVE IN PATH, USED IN COMPUTATION, or VALIDATED EFFECTIVE, and SHALL NOT represent a lower state or a state from another model as establishing a higher state.</x:v>
      </x:c>
      <x:c r="D20" s="98" t="str">
        <x:v>I, T, D</x:v>
      </x:c>
      <x:c r="E20" s="98" t="str">
        <x:v>PROPOSED</x:v>
      </x:c>
      <x:c r="F20" s="98" t="str">
        <x:v>1.1 RC1 or earlier - lineage pending</x:v>
      </x:c>
      <x:c r="G20" s="98" t="str">
        <x:v>1.2 WD</x:v>
      </x:c>
      <x:c r="H20" s="98" t="str"/>
      <x:c r="I20" s="98" t="str"/>
      <x:c r="J20" s="98" t="str"/>
      <x:c r="K20" s="98" t="str"/>
      <x:c r="L20" s="98" t="str">
        <x:v>Typed the general control-deployment state model and prohibited promotion of a lower evidenced state.</x:v>
      </x:c>
      <x:c r="M20" s="98" t="str">
        <x:v>UNDETERMINED - claim-specific profile matrix required</x:v>
      </x:c>
      <x:c r="N20" s="98" t="str">
        <x:v>1.2 WD</x:v>
      </x:c>
      <x:c r="O20" s="98" t="str">
        <x:v>AERA-001-1.2WD-20260807.1</x:v>
      </x:c>
      <x:c r="P20" s="99" t="str">
        <x:v>Authoritative PDF Appendix A; generated from controlled source</x:v>
      </x:c>
    </x:row>
    <x:row r="21" ht="60" customHeight="1">
      <x:c r="A21" s="97" t="str">
        <x:v>AERA-CONF-004</x:v>
      </x:c>
      <x:c r="B21" s="98" t="str">
        <x:v>CONF</x:v>
      </x:c>
      <x:c r="C21" s="98" t="str">
        <x:v>Each deviation SHALL identify the unmet requirement, rationale, affected decision population and consequence class, compensating controls, residual risk, approving authority, monitoring, corrective action, expiration date, and event-based termination conditions.</x:v>
      </x:c>
      <x:c r="D21" s="98" t="str">
        <x:v>I, A</x:v>
      </x:c>
      <x:c r="E21" s="98" t="str">
        <x:v>PROPOSED</x:v>
      </x:c>
      <x:c r="F21" s="98" t="str">
        <x:v>1.1 RC1 or earlier - lineage pending</x:v>
      </x:c>
      <x:c r="G21" s="98" t="str"/>
      <x:c r="H21" s="98" t="str"/>
      <x:c r="I21" s="98" t="str"/>
      <x:c r="J21" s="98" t="str"/>
      <x:c r="K21" s="98" t="str"/>
      <x:c r="L21" s="98" t="str"/>
      <x:c r="M21" s="98" t="str">
        <x:v>UNDETERMINED - claim-specific profile matrix required</x:v>
      </x:c>
      <x:c r="N21" s="98" t="str">
        <x:v>1.2 WD</x:v>
      </x:c>
      <x:c r="O21" s="98" t="str">
        <x:v>AERA-001-1.2WD-20260807.1</x:v>
      </x:c>
      <x:c r="P21" s="99" t="str">
        <x:v>Authoritative PDF Appendix A; generated from controlled source</x:v>
      </x:c>
    </x:row>
    <x:row r="22" ht="60" customHeight="1">
      <x:c r="A22" s="97" t="str">
        <x:v>AERA-CONF-005</x:v>
      </x:c>
      <x:c r="B22" s="98" t="str">
        <x:v>CONF</x:v>
      </x:c>
      <x:c r="C22" s="98" t="str">
        <x:v>A claim with an active approved deviation SHALL be labeled CONDITIONALLY CONFORMING.</x:v>
      </x:c>
      <x:c r="D22" s="98" t="str">
        <x:v>I, A, T and/or D as consequence requires</x:v>
      </x:c>
      <x:c r="E22" s="98" t="str">
        <x:v>PROPOSED</x:v>
      </x:c>
      <x:c r="F22" s="98" t="str">
        <x:v>1.1 RC1 or earlier - lineage pending</x:v>
      </x:c>
      <x:c r="G22" s="98" t="str"/>
      <x:c r="H22" s="98" t="str"/>
      <x:c r="I22" s="98" t="str"/>
      <x:c r="J22" s="98" t="str"/>
      <x:c r="K22" s="98" t="str"/>
      <x:c r="L22" s="98" t="str"/>
      <x:c r="M22" s="98" t="str">
        <x:v>UNDETERMINED - claim-specific profile matrix required</x:v>
      </x:c>
      <x:c r="N22" s="98" t="str">
        <x:v>1.2 WD</x:v>
      </x:c>
      <x:c r="O22" s="98" t="str">
        <x:v>AERA-001-1.2WD-20260807.1</x:v>
      </x:c>
      <x:c r="P22" s="99" t="str">
        <x:v>Authoritative PDF Appendix A; generated from controlled source</x:v>
      </x:c>
    </x:row>
    <x:row r="23" ht="60" customHeight="1">
      <x:c r="A23" s="97" t="str">
        <x:v>AERA-CONF-006</x:v>
      </x:c>
      <x:c r="B23" s="98" t="str">
        <x:v>CONF</x:v>
      </x:c>
      <x:c r="C23" s="98" t="str">
        <x:v>An expired or unapproved deviation SHALL make the affected claim nonconforming.</x:v>
      </x:c>
      <x:c r="D23" s="98" t="str">
        <x:v>I, A, T and/or D as consequence requires</x:v>
      </x:c>
      <x:c r="E23" s="98" t="str">
        <x:v>PROPOSED</x:v>
      </x:c>
      <x:c r="F23" s="98" t="str">
        <x:v>1.1 RC1 or earlier - lineage pending</x:v>
      </x:c>
      <x:c r="G23" s="98" t="str"/>
      <x:c r="H23" s="98" t="str"/>
      <x:c r="I23" s="98" t="str"/>
      <x:c r="J23" s="98" t="str"/>
      <x:c r="K23" s="98" t="str"/>
      <x:c r="L23" s="98" t="str"/>
      <x:c r="M23" s="98" t="str">
        <x:v>UNDETERMINED - claim-specific profile matrix required</x:v>
      </x:c>
      <x:c r="N23" s="98" t="str">
        <x:v>1.2 WD</x:v>
      </x:c>
      <x:c r="O23" s="98" t="str">
        <x:v>AERA-001-1.2WD-20260807.1</x:v>
      </x:c>
      <x:c r="P23" s="99" t="str">
        <x:v>Authoritative PDF Appendix A; generated from controlled source</x:v>
      </x:c>
    </x:row>
    <x:row r="24" ht="60" customHeight="1">
      <x:c r="A24" s="97" t="str">
        <x:v>AERA-CONF-007</x:v>
      </x:c>
      <x:c r="B24" s="98" t="str">
        <x:v>CONF</x:v>
      </x:c>
      <x:c r="C24" s="98" t="str">
        <x:v>Inherited controls SHALL be validated at the relying boundary and monitored for withdrawal conditions.</x:v>
      </x:c>
      <x:c r="D24" s="98" t="str">
        <x:v>I, A, T and/or D as consequence requires</x:v>
      </x:c>
      <x:c r="E24" s="98" t="str">
        <x:v>PROPOSED</x:v>
      </x:c>
      <x:c r="F24" s="98" t="str">
        <x:v>1.1 RC1 or earlier - lineage pending</x:v>
      </x:c>
      <x:c r="G24" s="98" t="str"/>
      <x:c r="H24" s="98" t="str"/>
      <x:c r="I24" s="98" t="str"/>
      <x:c r="J24" s="98" t="str"/>
      <x:c r="K24" s="98" t="str"/>
      <x:c r="L24" s="98" t="str"/>
      <x:c r="M24" s="98" t="str">
        <x:v>UNDETERMINED - claim-specific profile matrix required</x:v>
      </x:c>
      <x:c r="N24" s="98" t="str">
        <x:v>1.2 WD</x:v>
      </x:c>
      <x:c r="O24" s="98" t="str">
        <x:v>AERA-001-1.2WD-20260807.1</x:v>
      </x:c>
      <x:c r="P24" s="99" t="str">
        <x:v>Authoritative PDF Appendix A; generated from controlled source</x:v>
      </x:c>
    </x:row>
    <x:row r="25" ht="60" customHeight="1">
      <x:c r="A25" s="97" t="str">
        <x:v>AERA-CONF-008</x:v>
      </x:c>
      <x:c r="B25" s="98" t="str">
        <x:v>CONF</x:v>
      </x:c>
      <x:c r="C25" s="98" t="str">
        <x:v>Material change SHALL suspend reliance on affected evidence until reassessment is complete.</x:v>
      </x:c>
      <x:c r="D25" s="98" t="str">
        <x:v>I, A, T and/or D as consequence requires</x:v>
      </x:c>
      <x:c r="E25" s="98" t="str">
        <x:v>PROPOSED</x:v>
      </x:c>
      <x:c r="F25" s="98" t="str">
        <x:v>1.1 RC1 or earlier - lineage pending</x:v>
      </x:c>
      <x:c r="G25" s="98" t="str"/>
      <x:c r="H25" s="98" t="str"/>
      <x:c r="I25" s="98" t="str"/>
      <x:c r="J25" s="98" t="str"/>
      <x:c r="K25" s="98" t="str"/>
      <x:c r="L25" s="98" t="str"/>
      <x:c r="M25" s="98" t="str">
        <x:v>UNDETERMINED - claim-specific profile matrix required</x:v>
      </x:c>
      <x:c r="N25" s="98" t="str">
        <x:v>1.2 WD</x:v>
      </x:c>
      <x:c r="O25" s="98" t="str">
        <x:v>AERA-001-1.2WD-20260807.1</x:v>
      </x:c>
      <x:c r="P25" s="99" t="str">
        <x:v>Authoritative PDF Appendix A; generated from controlled source</x:v>
      </x:c>
    </x:row>
    <x:row r="26" ht="60" customHeight="1">
      <x:c r="A26" s="97" t="str">
        <x:v>AERA-CONF-009</x:v>
      </x:c>
      <x:c r="B26" s="98" t="str">
        <x:v>CONF</x:v>
      </x:c>
      <x:c r="C26" s="98" t="str">
        <x:v>Assessment independence SHALL be reported separately as self, independent internal or external assessment.</x:v>
      </x:c>
      <x:c r="D26" s="98" t="str">
        <x:v>I, A, T and/or D as consequence requires</x:v>
      </x:c>
      <x:c r="E26" s="98" t="str">
        <x:v>PROPOSED</x:v>
      </x:c>
      <x:c r="F26" s="98" t="str">
        <x:v>1.1 RC1 or earlier - lineage pending</x:v>
      </x:c>
      <x:c r="G26" s="98" t="str"/>
      <x:c r="H26" s="98" t="str"/>
      <x:c r="I26" s="98" t="str"/>
      <x:c r="J26" s="98" t="str"/>
      <x:c r="K26" s="98" t="str"/>
      <x:c r="L26" s="98" t="str"/>
      <x:c r="M26" s="98" t="str">
        <x:v>UNDETERMINED - claim-specific profile matrix required</x:v>
      </x:c>
      <x:c r="N26" s="98" t="str">
        <x:v>1.2 WD</x:v>
      </x:c>
      <x:c r="O26" s="98" t="str">
        <x:v>AERA-001-1.2WD-20260807.1</x:v>
      </x:c>
      <x:c r="P26" s="99" t="str">
        <x:v>Authoritative PDF Appendix A; generated from controlled source</x:v>
      </x:c>
    </x:row>
    <x:row r="27" ht="60" customHeight="1">
      <x:c r="A27" s="97" t="str">
        <x:v>AERA-CONF-010</x:v>
      </x:c>
      <x:c r="B27" s="98" t="str">
        <x:v>CONF</x:v>
      </x:c>
      <x:c r="C27" s="98" t="str">
        <x:v>AERA-aligned SHALL NOT be presented as equivalent to conforming, certified or compliant.</x:v>
      </x:c>
      <x:c r="D27" s="98" t="str">
        <x:v>I, A, T and/or D as consequence requires</x:v>
      </x:c>
      <x:c r="E27" s="98" t="str">
        <x:v>PROPOSED</x:v>
      </x:c>
      <x:c r="F27" s="98" t="str">
        <x:v>1.1 RC1 or earlier - lineage pending</x:v>
      </x:c>
      <x:c r="G27" s="98" t="str"/>
      <x:c r="H27" s="98" t="str"/>
      <x:c r="I27" s="98" t="str"/>
      <x:c r="J27" s="98" t="str"/>
      <x:c r="K27" s="98" t="str"/>
      <x:c r="L27" s="98" t="str"/>
      <x:c r="M27" s="98" t="str">
        <x:v>UNDETERMINED - claim-specific profile matrix required</x:v>
      </x:c>
      <x:c r="N27" s="98" t="str">
        <x:v>1.2 WD</x:v>
      </x:c>
      <x:c r="O27" s="98" t="str">
        <x:v>AERA-001-1.2WD-20260807.1</x:v>
      </x:c>
      <x:c r="P27" s="99" t="str">
        <x:v>Authoritative PDF Appendix A; generated from controlled source</x:v>
      </x:c>
    </x:row>
    <x:row r="28" ht="60" customHeight="1">
      <x:c r="A28" s="97" t="str">
        <x:v>AERA-CONS-101</x:v>
      </x:c>
      <x:c r="B28" s="98" t="str">
        <x:v>CONS</x:v>
      </x:c>
      <x:c r="C28" s="98" t="str">
        <x:v>Each decision class SHALL use a documented consequence-classification method that addresses severity, affected scope, reversibility, time to harm, propagation, detectability, cumulative effects, mission significance, legal, rights, and safety significance, recovery time and resources, and uncertainty.</x:v>
      </x:c>
      <x:c r="D28" s="98" t="str">
        <x:v>I, A</x:v>
      </x:c>
      <x:c r="E28" s="98" t="str">
        <x:v>PROPOSED</x:v>
      </x:c>
      <x:c r="F28" s="98" t="str">
        <x:v>1.1 RC1 or earlier - lineage pending</x:v>
      </x:c>
      <x:c r="G28" s="98" t="str"/>
      <x:c r="H28" s="98" t="str"/>
      <x:c r="I28" s="98" t="str"/>
      <x:c r="J28" s="98" t="str"/>
      <x:c r="K28" s="98" t="str"/>
      <x:c r="L28" s="98" t="str"/>
      <x:c r="M28" s="98" t="str">
        <x:v>UNDETERMINED - claim-specific profile matrix required</x:v>
      </x:c>
      <x:c r="N28" s="98" t="str">
        <x:v>1.2 WD</x:v>
      </x:c>
      <x:c r="O28" s="98" t="str">
        <x:v>AERA-001-1.2WD-20260807.1</x:v>
      </x:c>
      <x:c r="P28" s="99" t="str">
        <x:v>Authoritative PDF Appendix A; generated from controlled source</x:v>
      </x:c>
    </x:row>
    <x:row r="29" ht="60" customHeight="1">
      <x:c r="A29" s="97" t="str">
        <x:v>AERA-CONS-102</x:v>
      </x:c>
      <x:c r="B29" s="98" t="str">
        <x:v>CONS</x:v>
      </x:c>
      <x:c r="C29" s="98" t="str">
        <x:v>Consequence classification SHALL use the highest class indicated by the worst credible direct, secondary, cumulative, propagated, or irreversible effect within the declared operating and threat context.</x:v>
      </x:c>
      <x:c r="D29" s="98" t="str">
        <x:v>A, T</x:v>
      </x:c>
      <x:c r="E29" s="98" t="str">
        <x:v>PROPOSED</x:v>
      </x:c>
      <x:c r="F29" s="98" t="str">
        <x:v>1.1 RC1 or earlier - lineage pending</x:v>
      </x:c>
      <x:c r="G29" s="98" t="str"/>
      <x:c r="H29" s="98" t="str"/>
      <x:c r="I29" s="98" t="str"/>
      <x:c r="J29" s="98" t="str"/>
      <x:c r="K29" s="98" t="str"/>
      <x:c r="L29" s="98" t="str"/>
      <x:c r="M29" s="98" t="str">
        <x:v>UNDETERMINED - claim-specific profile matrix required</x:v>
      </x:c>
      <x:c r="N29" s="98" t="str">
        <x:v>1.2 WD</x:v>
      </x:c>
      <x:c r="O29" s="98" t="str">
        <x:v>AERA-001-1.2WD-20260807.1</x:v>
      </x:c>
      <x:c r="P29" s="99" t="str">
        <x:v>Authoritative PDF Appendix A; generated from controlled source</x:v>
      </x:c>
    </x:row>
    <x:row r="30" ht="60" customHeight="1">
      <x:c r="A30" s="97" t="str">
        <x:v>AERA-CONS-103</x:v>
      </x:c>
      <x:c r="B30" s="98" t="str">
        <x:v>CONS</x:v>
      </x:c>
      <x:c r="C30" s="98" t="str">
        <x:v>A consequence attribute that establishes a higher minimum class SHALL NOT be reduced by averaging or offsetting it against lower-consequence attributes.</x:v>
      </x:c>
      <x:c r="D30" s="98" t="str">
        <x:v>I, A, T</x:v>
      </x:c>
      <x:c r="E30" s="98" t="str">
        <x:v>PROPOSED</x:v>
      </x:c>
      <x:c r="F30" s="98" t="str">
        <x:v>1.1 RC1 or earlier - lineage pending</x:v>
      </x:c>
      <x:c r="G30" s="98" t="str"/>
      <x:c r="H30" s="98" t="str"/>
      <x:c r="I30" s="98" t="str"/>
      <x:c r="J30" s="98" t="str"/>
      <x:c r="K30" s="98" t="str"/>
      <x:c r="L30" s="98" t="str"/>
      <x:c r="M30" s="98" t="str">
        <x:v>UNDETERMINED - claim-specific profile matrix required</x:v>
      </x:c>
      <x:c r="N30" s="98" t="str">
        <x:v>1.2 WD</x:v>
      </x:c>
      <x:c r="O30" s="98" t="str">
        <x:v>AERA-001-1.2WD-20260807.1</x:v>
      </x:c>
      <x:c r="P30" s="99" t="str">
        <x:v>Authoritative PDF Appendix A; generated from controlled source</x:v>
      </x:c>
    </x:row>
    <x:row r="31" ht="60" customHeight="1">
      <x:c r="A31" s="97" t="str">
        <x:v>AERA-CONS-104</x:v>
      </x:c>
      <x:c r="B31" s="98" t="str">
        <x:v>CONS</x:v>
      </x:c>
      <x:c r="C31" s="98" t="str">
        <x:v>The DAF SHALL re-evaluate consequence before further authorization when a sequence, batch, concurrent set, campaign, or portfolio can exceed an individual-action limit or alter the worst credible effect.</x:v>
      </x:c>
      <x:c r="D31" s="98" t="str">
        <x:v>A, T</x:v>
      </x:c>
      <x:c r="E31" s="98" t="str">
        <x:v>PROPOSED</x:v>
      </x:c>
      <x:c r="F31" s="98" t="str">
        <x:v>1.1 RC1 or earlier - lineage pending</x:v>
      </x:c>
      <x:c r="G31" s="98" t="str"/>
      <x:c r="H31" s="98" t="str"/>
      <x:c r="I31" s="98" t="str"/>
      <x:c r="J31" s="98" t="str"/>
      <x:c r="K31" s="98" t="str"/>
      <x:c r="L31" s="98" t="str"/>
      <x:c r="M31" s="98" t="str">
        <x:v>UNDETERMINED - claim-specific profile matrix required</x:v>
      </x:c>
      <x:c r="N31" s="98" t="str">
        <x:v>1.2 WD</x:v>
      </x:c>
      <x:c r="O31" s="98" t="str">
        <x:v>AERA-001-1.2WD-20260807.1</x:v>
      </x:c>
      <x:c r="P31" s="99" t="str">
        <x:v>Authoritative PDF Appendix A; generated from controlled source</x:v>
      </x:c>
    </x:row>
    <x:row r="32" ht="60" customHeight="1">
      <x:c r="A32" s="97" t="str">
        <x:v>AERA-CONS-105</x:v>
      </x:c>
      <x:c r="B32" s="98" t="str">
        <x:v>CONS</x:v>
      </x:c>
      <x:c r="C32" s="98" t="str">
        <x:v>When available evidence supports more than one consequence class, classification SHALL use the highest applicable class until evidence supports a narrower class and the downgrade is approved by an authority independent of the proposer.</x:v>
      </x:c>
      <x:c r="D32" s="98" t="str">
        <x:v>I, A, T</x:v>
      </x:c>
      <x:c r="E32" s="98" t="str">
        <x:v>PROPOSED</x:v>
      </x:c>
      <x:c r="F32" s="98" t="str">
        <x:v>1.1 RC1 or earlier - lineage pending</x:v>
      </x:c>
      <x:c r="G32" s="98" t="str"/>
      <x:c r="H32" s="98" t="str"/>
      <x:c r="I32" s="98" t="str"/>
      <x:c r="J32" s="98" t="str"/>
      <x:c r="K32" s="98" t="str"/>
      <x:c r="L32" s="98" t="str"/>
      <x:c r="M32" s="98" t="str">
        <x:v>UNDETERMINED - claim-specific profile matrix required</x:v>
      </x:c>
      <x:c r="N32" s="98" t="str">
        <x:v>1.2 WD</x:v>
      </x:c>
      <x:c r="O32" s="98" t="str">
        <x:v>AERA-001-1.2WD-20260807.1</x:v>
      </x:c>
      <x:c r="P32" s="99" t="str">
        <x:v>Authoritative PDF Appendix A; generated from controlled source</x:v>
      </x:c>
    </x:row>
    <x:row r="33" ht="60" customHeight="1">
      <x:c r="A33" s="97" t="str">
        <x:v>AERA-CONS-106</x:v>
      </x:c>
      <x:c r="B33" s="98" t="str">
        <x:v>CONS</x:v>
      </x:c>
      <x:c r="C33" s="98" t="str">
        <x:v>When concurrent transactions share a cumulative effect or resource limit, the DAF and enforcement path SHALL use bounded reservations or an equivalent atomic control that prevents aggregate authorized or executed effects from exceeding the limit.</x:v>
      </x:c>
      <x:c r="D33" s="98" t="str">
        <x:v>A, T</x:v>
      </x:c>
      <x:c r="E33" s="98" t="str">
        <x:v>PROPOSED</x:v>
      </x:c>
      <x:c r="F33" s="98" t="str">
        <x:v>1.1 RC1 or earlier - lineage pending</x:v>
      </x:c>
      <x:c r="G33" s="98" t="str"/>
      <x:c r="H33" s="98" t="str"/>
      <x:c r="I33" s="98" t="str"/>
      <x:c r="J33" s="98" t="str"/>
      <x:c r="K33" s="98" t="str"/>
      <x:c r="L33" s="98" t="str"/>
      <x:c r="M33" s="98" t="str">
        <x:v>UNDETERMINED - claim-specific profile matrix required</x:v>
      </x:c>
      <x:c r="N33" s="98" t="str">
        <x:v>1.2 WD</x:v>
      </x:c>
      <x:c r="O33" s="98" t="str">
        <x:v>AERA-001-1.2WD-20260807.1</x:v>
      </x:c>
      <x:c r="P33" s="99" t="str">
        <x:v>Authoritative PDF Appendix A; generated from controlled source</x:v>
      </x:c>
    </x:row>
    <x:row r="34" ht="60" customHeight="1">
      <x:c r="A34" s="97" t="str">
        <x:v>AERA-CY-001</x:v>
      </x:c>
      <x:c r="B34" s="98" t="str">
        <x:v>CY</x:v>
      </x:c>
      <x:c r="C34" s="98" t="str">
        <x:v>Credentials used on a material-effect path SHALL be scoped, to the extent supported, to the authorized actor, audience, action, target, context, and validity interval; where native credential scoping is insufficient, the enforcement point SHALL enforce equivalent restrictions.</x:v>
      </x:c>
      <x:c r="D34" s="98" t="str">
        <x:v>I, T</x:v>
      </x:c>
      <x:c r="E34" s="98" t="str">
        <x:v>PROPOSED</x:v>
      </x:c>
      <x:c r="F34" s="98" t="str">
        <x:v>1.1 RC1 or earlier - lineage pending</x:v>
      </x:c>
      <x:c r="G34" s="98" t="str"/>
      <x:c r="H34" s="98" t="str"/>
      <x:c r="I34" s="98" t="str"/>
      <x:c r="J34" s="98" t="str"/>
      <x:c r="K34" s="98" t="str"/>
      <x:c r="L34" s="98" t="str"/>
      <x:c r="M34" s="98" t="str">
        <x:v>UNDETERMINED - claim-specific profile matrix required</x:v>
      </x:c>
      <x:c r="N34" s="98" t="str">
        <x:v>1.2 WD</x:v>
      </x:c>
      <x:c r="O34" s="98" t="str">
        <x:v>AERA-001-1.2WD-20260807.1</x:v>
      </x:c>
      <x:c r="P34" s="99" t="str">
        <x:v>Authoritative PDF Appendix A; generated from controlled source</x:v>
      </x:c>
    </x:row>
    <x:row r="35" ht="60" customHeight="1">
      <x:c r="A35" s="97" t="str">
        <x:v>AERA-CY-002</x:v>
      </x:c>
      <x:c r="B35" s="98" t="str">
        <x:v>CY</x:v>
      </x:c>
      <x:c r="C35" s="98" t="str">
        <x:v>Each material effect SHALL pass through an enforcement point that is independently controllable from the proposer and capable of mediating the exact authorized actor, action, target, parameters, and context before the effect becomes irreversible or exits the recovery envelope.</x:v>
      </x:c>
      <x:c r="D35" s="98" t="str">
        <x:v>A, T</x:v>
      </x:c>
      <x:c r="E35" s="98" t="str">
        <x:v>PROPOSED</x:v>
      </x:c>
      <x:c r="F35" s="98" t="str">
        <x:v>1.1 RC1 or earlier - lineage pending</x:v>
      </x:c>
      <x:c r="G35" s="98" t="str"/>
      <x:c r="H35" s="98" t="str"/>
      <x:c r="I35" s="98" t="str"/>
      <x:c r="J35" s="98" t="str"/>
      <x:c r="K35" s="98" t="str"/>
      <x:c r="L35" s="98" t="str"/>
      <x:c r="M35" s="98" t="str">
        <x:v>UNDETERMINED - claim-specific profile matrix required</x:v>
      </x:c>
      <x:c r="N35" s="98" t="str">
        <x:v>1.2 WD</x:v>
      </x:c>
      <x:c r="O35" s="98" t="str">
        <x:v>AERA-001-1.2WD-20260807.1</x:v>
      </x:c>
      <x:c r="P35" s="99" t="str">
        <x:v>Authoritative PDF Appendix A; generated from controlled source</x:v>
      </x:c>
    </x:row>
    <x:row r="36" ht="60" customHeight="1">
      <x:c r="A36" s="97" t="str">
        <x:v>AERA-CY-003</x:v>
      </x:c>
      <x:c r="B36" s="98" t="str">
        <x:v>CY</x:v>
      </x:c>
      <x:c r="C36" s="98" t="str">
        <x:v>For each material decision transaction, the implementation SHALL retain a tamper-evident record sufficient to reconstruct the causal chain from intent and authority through actor and configuration, proposal, evidence and provenance, policy and assurance verdicts, disposition, credential use, enforcement, observed effect, override, exception, and recovery.</x:v>
      </x:c>
      <x:c r="D36" s="98" t="str">
        <x:v>I, T, D</x:v>
      </x:c>
      <x:c r="E36" s="98" t="str">
        <x:v>PROPOSED</x:v>
      </x:c>
      <x:c r="F36" s="98" t="str">
        <x:v>1.1 RC1 or earlier - lineage pending</x:v>
      </x:c>
      <x:c r="G36" s="98" t="str"/>
      <x:c r="H36" s="98" t="str"/>
      <x:c r="I36" s="98" t="str"/>
      <x:c r="J36" s="98" t="str"/>
      <x:c r="K36" s="98" t="str"/>
      <x:c r="L36" s="98" t="str"/>
      <x:c r="M36" s="98" t="str">
        <x:v>UNDETERMINED - claim-specific profile matrix required</x:v>
      </x:c>
      <x:c r="N36" s="98" t="str">
        <x:v>1.2 WD</x:v>
      </x:c>
      <x:c r="O36" s="98" t="str">
        <x:v>AERA-001-1.2WD-20260807.1</x:v>
      </x:c>
      <x:c r="P36" s="99" t="str">
        <x:v>Authoritative PDF Appendix A; generated from controlled source</x:v>
      </x:c>
    </x:row>
    <x:row r="37" ht="60" customHeight="1">
      <x:c r="A37" s="97" t="str">
        <x:v>AERA-CY-004</x:v>
      </x:c>
      <x:c r="B37" s="98" t="str">
        <x:v>CY</x:v>
      </x:c>
      <x:c r="C37" s="98" t="str">
        <x:v>Cryptographic migration SHALL be driven by inventory, exposure period and interoperability evidence.</x:v>
      </x:c>
      <x:c r="D37" s="98" t="str">
        <x:v>I, A, T and/or D as consequence requires</x:v>
      </x:c>
      <x:c r="E37" s="98" t="str">
        <x:v>PROPOSED</x:v>
      </x:c>
      <x:c r="F37" s="98" t="str">
        <x:v>1.1 RC1 or earlier - lineage pending</x:v>
      </x:c>
      <x:c r="G37" s="98" t="str"/>
      <x:c r="H37" s="98" t="str"/>
      <x:c r="I37" s="98" t="str"/>
      <x:c r="J37" s="98" t="str"/>
      <x:c r="K37" s="98" t="str"/>
      <x:c r="L37" s="98" t="str"/>
      <x:c r="M37" s="98" t="str">
        <x:v>UNDETERMINED - claim-specific profile matrix required</x:v>
      </x:c>
      <x:c r="N37" s="98" t="str">
        <x:v>1.2 WD</x:v>
      </x:c>
      <x:c r="O37" s="98" t="str">
        <x:v>AERA-001-1.2WD-20260807.1</x:v>
      </x:c>
      <x:c r="P37" s="99" t="str">
        <x:v>Authoritative PDF Appendix A; generated from controlled source</x:v>
      </x:c>
    </x:row>
    <x:row r="38" ht="60" customHeight="1">
      <x:c r="A38" s="97" t="str">
        <x:v>AERA-DA-001</x:v>
      </x:c>
      <x:c r="B38" s="98" t="str">
        <x:v>DA</x:v>
      </x:c>
      <x:c r="C38" s="98" t="str">
        <x:v>Each decision class SHALL identify an accountable human authority who owns the delegation policy, approves residual risk, and remains answerable for autonomous outcomes.</x:v>
      </x:c>
      <x:c r="D38" s="98" t="str">
        <x:v>Approved responsibility assignment; decision-class register; sampled interviews and authorization records.</x:v>
      </x:c>
      <x:c r="E38" s="98" t="str">
        <x:v>PROPOSED</x:v>
      </x:c>
      <x:c r="F38" s="98" t="str">
        <x:v>1.1 RC1 or earlier - lineage pending</x:v>
      </x:c>
      <x:c r="G38" s="98" t="str"/>
      <x:c r="H38" s="98" t="str"/>
      <x:c r="I38" s="98" t="str"/>
      <x:c r="J38" s="98" t="str"/>
      <x:c r="K38" s="98" t="str"/>
      <x:c r="L38" s="98" t="str"/>
      <x:c r="M38" s="98" t="str">
        <x:v>UNDETERMINED - claim-specific profile matrix required</x:v>
      </x:c>
      <x:c r="N38" s="98" t="str">
        <x:v>1.2 WD</x:v>
      </x:c>
      <x:c r="O38" s="98" t="str">
        <x:v>AERA-001-1.2WD-20260807.1</x:v>
      </x:c>
      <x:c r="P38" s="99" t="str">
        <x:v>Authoritative PDF Appendix A; generated from controlled source</x:v>
      </x:c>
    </x:row>
    <x:row r="39" ht="60" customHeight="1">
      <x:c r="A39" s="97" t="str">
        <x:v>AERA-DA-002</x:v>
      </x:c>
      <x:c r="B39" s="98" t="str">
        <x:v>DA</x:v>
      </x:c>
      <x:c r="C39" s="98" t="str">
        <x:v>Every delegation SHALL identify the grantor, grantee, decision class, allowed effects, prohibited effects, target scope, consequence ceiling, context predicates, validity interval, subdelegation permission, and revocation method.</x:v>
      </x:c>
      <x:c r="D39" s="98" t="str">
        <x:v>Machine-readable schema; validation tests; positive and negative delegation cases.</x:v>
      </x:c>
      <x:c r="E39" s="98" t="str">
        <x:v>PROPOSED</x:v>
      </x:c>
      <x:c r="F39" s="98" t="str">
        <x:v>1.1 RC1 or earlier - lineage pending</x:v>
      </x:c>
      <x:c r="G39" s="98" t="str"/>
      <x:c r="H39" s="98" t="str"/>
      <x:c r="I39" s="98" t="str"/>
      <x:c r="J39" s="98" t="str"/>
      <x:c r="K39" s="98" t="str"/>
      <x:c r="L39" s="98" t="str"/>
      <x:c r="M39" s="98" t="str">
        <x:v>UNDETERMINED - claim-specific profile matrix required</x:v>
      </x:c>
      <x:c r="N39" s="98" t="str">
        <x:v>1.2 WD</x:v>
      </x:c>
      <x:c r="O39" s="98" t="str">
        <x:v>AERA-001-1.2WD-20260807.1</x:v>
      </x:c>
      <x:c r="P39" s="99" t="str">
        <x:v>Authoritative PDF Appendix A; generated from controlled source</x:v>
      </x:c>
    </x:row>
    <x:row r="40" ht="60" customHeight="1">
      <x:c r="A40" s="97" t="str">
        <x:v>AERA-DA-003</x:v>
      </x:c>
      <x:c r="B40" s="98" t="str">
        <x:v>DA</x:v>
      </x:c>
      <x:c r="C40" s="98" t="str">
        <x:v>Before authorization, the implementation SHALL validate the complete delegation chain to an approved trust anchor and SHALL NOT accept a missing, reordered, ambiguous, or unauthorized parent grant.</x:v>
      </x:c>
      <x:c r="D40" s="98" t="str">
        <x:v>Chain-validation logs; malformed-chain tests; trust-anchor inventory.</x:v>
      </x:c>
      <x:c r="E40" s="98" t="str">
        <x:v>PROPOSED</x:v>
      </x:c>
      <x:c r="F40" s="98" t="str">
        <x:v>1.1 RC1 or earlier - lineage pending</x:v>
      </x:c>
      <x:c r="G40" s="98" t="str"/>
      <x:c r="H40" s="98" t="str"/>
      <x:c r="I40" s="98" t="str"/>
      <x:c r="J40" s="98" t="str"/>
      <x:c r="K40" s="98" t="str"/>
      <x:c r="L40" s="98" t="str"/>
      <x:c r="M40" s="98" t="str">
        <x:v>UNDETERMINED - claim-specific profile matrix required</x:v>
      </x:c>
      <x:c r="N40" s="98" t="str">
        <x:v>1.2 WD</x:v>
      </x:c>
      <x:c r="O40" s="98" t="str">
        <x:v>AERA-001-1.2WD-20260807.1</x:v>
      </x:c>
      <x:c r="P40" s="99" t="str">
        <x:v>Authoritative PDF Appendix A; generated from controlled source</x:v>
      </x:c>
    </x:row>
    <x:row r="41" ht="60" customHeight="1">
      <x:c r="A41" s="97" t="str">
        <x:v>AERA-DA-004</x:v>
      </x:c>
      <x:c r="B41" s="98" t="str">
        <x:v>DA</x:v>
      </x:c>
      <x:c r="C41" s="98" t="str">
        <x:v>Subdelegation SHALL be denied unless the parent grant explicitly permits it and the derived grant is no broader in effect, consequence, duration, target, tool, or context.</x:v>
      </x:c>
      <x:c r="D41" s="98" t="str">
        <x:v>Derived-grant comparison tests; transitive audit records; denied escalation cases.</x:v>
      </x:c>
      <x:c r="E41" s="98" t="str">
        <x:v>PROPOSED</x:v>
      </x:c>
      <x:c r="F41" s="98" t="str">
        <x:v>1.1 RC1 or earlier - lineage pending</x:v>
      </x:c>
      <x:c r="G41" s="98" t="str"/>
      <x:c r="H41" s="98" t="str"/>
      <x:c r="I41" s="98" t="str"/>
      <x:c r="J41" s="98" t="str"/>
      <x:c r="K41" s="98" t="str"/>
      <x:c r="L41" s="98" t="str"/>
      <x:c r="M41" s="98" t="str">
        <x:v>UNDETERMINED - claim-specific profile matrix required</x:v>
      </x:c>
      <x:c r="N41" s="98" t="str">
        <x:v>1.2 WD</x:v>
      </x:c>
      <x:c r="O41" s="98" t="str">
        <x:v>AERA-001-1.2WD-20260807.1</x:v>
      </x:c>
      <x:c r="P41" s="99" t="str">
        <x:v>Authoritative PDF Appendix A; generated from controlled source</x:v>
      </x:c>
    </x:row>
    <x:row r="42" ht="60" customHeight="1">
      <x:c r="A42" s="97" t="str">
        <x:v>AERA-DA-005</x:v>
      </x:c>
      <x:c r="B42" s="98" t="str">
        <x:v>DA</x:v>
      </x:c>
      <x:c r="C42" s="98" t="str">
        <x:v>Revocation, expiry, actor-integrity loss, and material context change SHALL invalidate dependent authorization state within a documented maximum propagation time; stale state SHALL NOT authorize a new effect.</x:v>
      </x:c>
      <x:c r="D42" s="98" t="str">
        <x:v>Revocation latency measurement; partition tests; cache-behavior evidence.</x:v>
      </x:c>
      <x:c r="E42" s="98" t="str">
        <x:v>PROPOSED</x:v>
      </x:c>
      <x:c r="F42" s="98" t="str">
        <x:v>1.1 RC1 or earlier - lineage pending</x:v>
      </x:c>
      <x:c r="G42" s="98" t="str"/>
      <x:c r="H42" s="98" t="str"/>
      <x:c r="I42" s="98" t="str"/>
      <x:c r="J42" s="98" t="str"/>
      <x:c r="K42" s="98" t="str"/>
      <x:c r="L42" s="98" t="str"/>
      <x:c r="M42" s="98" t="str">
        <x:v>UNDETERMINED - claim-specific profile matrix required</x:v>
      </x:c>
      <x:c r="N42" s="98" t="str">
        <x:v>1.2 WD</x:v>
      </x:c>
      <x:c r="O42" s="98" t="str">
        <x:v>AERA-001-1.2WD-20260807.1</x:v>
      </x:c>
      <x:c r="P42" s="99" t="str">
        <x:v>Authoritative PDF Appendix A; generated from controlled source</x:v>
      </x:c>
    </x:row>
    <x:row r="43" ht="60" customHeight="1">
      <x:c r="A43" s="97" t="str">
        <x:v>AERA-DA-006</x:v>
      </x:c>
      <x:c r="B43" s="98" t="str">
        <x:v>DA</x:v>
      </x:c>
      <x:c r="C43" s="98" t="str">
        <x:v>The capability to grant authority, propose an action, classify consequence, authorize, enforce, and approve an override SHALL be separated according to consequence, and incompatible combinations SHALL require documented compensating controls.</x:v>
      </x:c>
      <x:c r="D43" s="98" t="str">
        <x:v>Role matrix; policy tests; override review; compensating-control approval.</x:v>
      </x:c>
      <x:c r="E43" s="98" t="str">
        <x:v>PROPOSED</x:v>
      </x:c>
      <x:c r="F43" s="98" t="str">
        <x:v>1.1 RC1 or earlier - lineage pending</x:v>
      </x:c>
      <x:c r="G43" s="98" t="str"/>
      <x:c r="H43" s="98" t="str"/>
      <x:c r="I43" s="98" t="str"/>
      <x:c r="J43" s="98" t="str"/>
      <x:c r="K43" s="98" t="str"/>
      <x:c r="L43" s="98" t="str"/>
      <x:c r="M43" s="98" t="str">
        <x:v>UNDETERMINED - claim-specific profile matrix required</x:v>
      </x:c>
      <x:c r="N43" s="98" t="str">
        <x:v>1.2 WD</x:v>
      </x:c>
      <x:c r="O43" s="98" t="str">
        <x:v>AERA-001-1.2WD-20260807.1</x:v>
      </x:c>
      <x:c r="P43" s="99" t="str">
        <x:v>Authoritative PDF Appendix A; generated from controlled source</x:v>
      </x:c>
    </x:row>
    <x:row r="44" ht="60" customHeight="1">
      <x:c r="A44" s="97" t="str">
        <x:v>AERA-DA-007</x:v>
      </x:c>
      <x:c r="B44" s="98" t="str">
        <x:v>DA</x:v>
      </x:c>
      <x:c r="C44" s="98" t="str">
        <x:v>Each non-human actor SHALL use a workload identity bound to its owner, role, model or software version, runtime integrity state, allowed tools, and consequence ceiling; a human account SHALL NOT be reused as the actor identity.</x:v>
      </x:c>
      <x:c r="D44" s="98" t="str">
        <x:v>Workload identity records; attestation or equivalent integrity evidence; credential-use logs.</x:v>
      </x:c>
      <x:c r="E44" s="98" t="str">
        <x:v>PROPOSED</x:v>
      </x:c>
      <x:c r="F44" s="98" t="str">
        <x:v>1.1 RC1 or earlier - lineage pending</x:v>
      </x:c>
      <x:c r="G44" s="98" t="str"/>
      <x:c r="H44" s="98" t="str"/>
      <x:c r="I44" s="98" t="str"/>
      <x:c r="J44" s="98" t="str"/>
      <x:c r="K44" s="98" t="str"/>
      <x:c r="L44" s="98" t="str"/>
      <x:c r="M44" s="98" t="str">
        <x:v>UNDETERMINED - claim-specific profile matrix required</x:v>
      </x:c>
      <x:c r="N44" s="98" t="str">
        <x:v>1.2 WD</x:v>
      </x:c>
      <x:c r="O44" s="98" t="str">
        <x:v>AERA-001-1.2WD-20260807.1</x:v>
      </x:c>
      <x:c r="P44" s="99" t="str">
        <x:v>Authoritative PDF Appendix A; generated from controlled source</x:v>
      </x:c>
    </x:row>
    <x:row r="45" ht="60" customHeight="1">
      <x:c r="A45" s="97" t="str">
        <x:v>AERA-DA-008</x:v>
      </x:c>
      <x:c r="B45" s="98" t="str">
        <x:v>DA</x:v>
      </x:c>
      <x:c r="C45" s="98" t="str">
        <x:v>Operational intent SHALL be attributable, versioned, integrity-protected, and machine-testable, and shall state objectives, priorities, constraints, measures of success, prohibited outcomes, and review or expiry conditions.</x:v>
      </x:c>
      <x:c r="D45" s="98" t="str">
        <x:v>Signed intent object; conformance tests; change history.</x:v>
      </x:c>
      <x:c r="E45" s="98" t="str">
        <x:v>PROPOSED</x:v>
      </x:c>
      <x:c r="F45" s="98" t="str">
        <x:v>1.1 RC1 or earlier - lineage pending</x:v>
      </x:c>
      <x:c r="G45" s="98" t="str"/>
      <x:c r="H45" s="98" t="str"/>
      <x:c r="I45" s="98" t="str"/>
      <x:c r="J45" s="98" t="str"/>
      <x:c r="K45" s="98" t="str"/>
      <x:c r="L45" s="98" t="str"/>
      <x:c r="M45" s="98" t="str">
        <x:v>UNDETERMINED - claim-specific profile matrix required</x:v>
      </x:c>
      <x:c r="N45" s="98" t="str">
        <x:v>1.2 WD</x:v>
      </x:c>
      <x:c r="O45" s="98" t="str">
        <x:v>AERA-001-1.2WD-20260807.1</x:v>
      </x:c>
      <x:c r="P45" s="99" t="str">
        <x:v>Authoritative PDF Appendix A; generated from controlled source</x:v>
      </x:c>
    </x:row>
    <x:row r="46" ht="60" customHeight="1">
      <x:c r="A46" s="97" t="str">
        <x:v>AERA-DA-009</x:v>
      </x:c>
      <x:c r="B46" s="98" t="str">
        <x:v>DA</x:v>
      </x:c>
      <x:c r="C46" s="98" t="str">
        <x:v>Intent and policy conflict-resolution rules SHALL define precedence, tie-breaking authority, and fail-safe behavior; unresolved conflict SHALL NOT be converted to permission by implementation order.</x:v>
      </x:c>
      <x:c r="D46" s="98" t="str">
        <x:v>Conflict corpus; deterministic evaluation results; approved precedence specification.</x:v>
      </x:c>
      <x:c r="E46" s="98" t="str">
        <x:v>PROPOSED</x:v>
      </x:c>
      <x:c r="F46" s="98" t="str">
        <x:v>1.1 RC1 or earlier - lineage pending</x:v>
      </x:c>
      <x:c r="G46" s="98" t="str"/>
      <x:c r="H46" s="98" t="str"/>
      <x:c r="I46" s="98" t="str"/>
      <x:c r="J46" s="98" t="str"/>
      <x:c r="K46" s="98" t="str"/>
      <x:c r="L46" s="98" t="str"/>
      <x:c r="M46" s="98" t="str">
        <x:v>UNDETERMINED - claim-specific profile matrix required</x:v>
      </x:c>
      <x:c r="N46" s="98" t="str">
        <x:v>1.2 WD</x:v>
      </x:c>
      <x:c r="O46" s="98" t="str">
        <x:v>AERA-001-1.2WD-20260807.1</x:v>
      </x:c>
      <x:c r="P46" s="99" t="str">
        <x:v>Authoritative PDF Appendix A; generated from controlled source</x:v>
      </x:c>
    </x:row>
    <x:row r="47" ht="60" customHeight="1">
      <x:c r="A47" s="97" t="str">
        <x:v>AERA-DA-010</x:v>
      </x:c>
      <x:c r="B47" s="98" t="str">
        <x:v>DA</x:v>
      </x:c>
      <x:c r="C47" s="98" t="str">
        <x:v>Every assurance disposition SHALL record the exact policy bundle, policy version, material policy inputs, and evaluator version used; unapproved rollback to an earlier policy SHALL be rejected.</x:v>
      </x:c>
      <x:c r="D47" s="98" t="str">
        <x:v>Disposition records; signed policy inventory; rollback and downgrade tests.</x:v>
      </x:c>
      <x:c r="E47" s="98" t="str">
        <x:v>PROPOSED</x:v>
      </x:c>
      <x:c r="F47" s="98" t="str">
        <x:v>1.1 RC1 or earlier - lineage pending</x:v>
      </x:c>
      <x:c r="G47" s="98" t="str"/>
      <x:c r="H47" s="98" t="str"/>
      <x:c r="I47" s="98" t="str"/>
      <x:c r="J47" s="98" t="str"/>
      <x:c r="K47" s="98" t="str"/>
      <x:c r="L47" s="98" t="str"/>
      <x:c r="M47" s="98" t="str">
        <x:v>UNDETERMINED - claim-specific profile matrix required</x:v>
      </x:c>
      <x:c r="N47" s="98" t="str">
        <x:v>1.2 WD</x:v>
      </x:c>
      <x:c r="O47" s="98" t="str">
        <x:v>AERA-001-1.2WD-20260807.1</x:v>
      </x:c>
      <x:c r="P47" s="99" t="str">
        <x:v>Authoritative PDF Appendix A; generated from controlled source</x:v>
      </x:c>
    </x:row>
    <x:row r="48" ht="60" customHeight="1">
      <x:c r="A48" s="97" t="str">
        <x:v>AERA-DA-011</x:v>
      </x:c>
      <x:c r="B48" s="98" t="str">
        <x:v>DA</x:v>
      </x:c>
      <x:c r="C48" s="98" t="str">
        <x:v>Consequence classification SHALL account for severity, scope, reversibility, time to harm, propagation, cumulative effects, legal or safety significance, and recovery time; the proposer SHALL NOT be the sole approver of a downgrade.</x:v>
      </x:c>
      <x:c r="D48" s="98" t="str">
        <x:v>Classification rubric; inter-rater tests; downgrade approvals; boundary cases.</x:v>
      </x:c>
      <x:c r="E48" s="98" t="str">
        <x:v>PROPOSED</x:v>
      </x:c>
      <x:c r="F48" s="98" t="str">
        <x:v>1.1 RC1 or earlier - lineage pending</x:v>
      </x:c>
      <x:c r="G48" s="98" t="str"/>
      <x:c r="H48" s="98" t="str"/>
      <x:c r="I48" s="98" t="str"/>
      <x:c r="J48" s="98" t="str"/>
      <x:c r="K48" s="98" t="str"/>
      <x:c r="L48" s="98" t="str"/>
      <x:c r="M48" s="98" t="str">
        <x:v>UNDETERMINED - claim-specific profile matrix required</x:v>
      </x:c>
      <x:c r="N48" s="98" t="str">
        <x:v>1.2 WD</x:v>
      </x:c>
      <x:c r="O48" s="98" t="str">
        <x:v>AERA-001-1.2WD-20260807.1</x:v>
      </x:c>
      <x:c r="P48" s="99" t="str">
        <x:v>Authoritative PDF Appendix A; generated from controlled source</x:v>
      </x:c>
    </x:row>
    <x:row r="49" ht="60" customHeight="1">
      <x:c r="A49" s="97" t="str">
        <x:v>AERA-DA-012</x:v>
      </x:c>
      <x:c r="B49" s="98" t="str">
        <x:v>DA</x:v>
      </x:c>
      <x:c r="C49" s="98" t="str">
        <x:v>The proposal evaluated by the Decision Assurance Fabric SHALL be canonically represented and cryptographically bound to actor, target, parameters, tool, sequence, evidence manifest, context, and expiration; any material mutation SHALL require reauthorization.</x:v>
      </x:c>
      <x:c r="D49" s="98" t="str">
        <x:v>Canonicalization specification; digest comparison; mutation and replay tests.</x:v>
      </x:c>
      <x:c r="E49" s="98" t="str">
        <x:v>PROPOSED</x:v>
      </x:c>
      <x:c r="F49" s="98" t="str">
        <x:v>1.1 RC1 or earlier - lineage pending</x:v>
      </x:c>
      <x:c r="G49" s="98" t="str"/>
      <x:c r="H49" s="98" t="str"/>
      <x:c r="I49" s="98" t="str"/>
      <x:c r="J49" s="98" t="str"/>
      <x:c r="K49" s="98" t="str"/>
      <x:c r="L49" s="98" t="str"/>
      <x:c r="M49" s="98" t="str">
        <x:v>UNDETERMINED - claim-specific profile matrix required</x:v>
      </x:c>
      <x:c r="N49" s="98" t="str">
        <x:v>1.2 WD</x:v>
      </x:c>
      <x:c r="O49" s="98" t="str">
        <x:v>AERA-001-1.2WD-20260807.1</x:v>
      </x:c>
      <x:c r="P49" s="99" t="str">
        <x:v>Authoritative PDF Appendix A; generated from controlled source</x:v>
      </x:c>
    </x:row>
    <x:row r="50" ht="60" customHeight="1">
      <x:c r="A50" s="97" t="str">
        <x:v>AERA-DA-013</x:v>
      </x:c>
      <x:c r="B50" s="98" t="str">
        <x:v>DA</x:v>
      </x:c>
      <x:c r="C50" s="98" t="str">
        <x:v>Decision evidence SHALL carry source identity, acquisition method, acquisition time, transformation lineage, integrity state, uncertainty, freshness, applicable domain, and retention reference.</x:v>
      </x:c>
      <x:c r="D50" s="98" t="str">
        <x:v>Evidence manifest; schema validation; lineage reconstruction.</x:v>
      </x:c>
      <x:c r="E50" s="98" t="str">
        <x:v>PROPOSED</x:v>
      </x:c>
      <x:c r="F50" s="98" t="str">
        <x:v>1.1 RC1 or earlier - lineage pending</x:v>
      </x:c>
      <x:c r="G50" s="98" t="str"/>
      <x:c r="H50" s="98" t="str"/>
      <x:c r="I50" s="98" t="str"/>
      <x:c r="J50" s="98" t="str"/>
      <x:c r="K50" s="98" t="str"/>
      <x:c r="L50" s="98" t="str"/>
      <x:c r="M50" s="98" t="str">
        <x:v>UNDETERMINED - claim-specific profile matrix required</x:v>
      </x:c>
      <x:c r="N50" s="98" t="str">
        <x:v>1.2 WD</x:v>
      </x:c>
      <x:c r="O50" s="98" t="str">
        <x:v>AERA-001-1.2WD-20260807.1</x:v>
      </x:c>
      <x:c r="P50" s="99" t="str">
        <x:v>Authoritative PDF Appendix A; generated from controlled source</x:v>
      </x:c>
    </x:row>
    <x:row r="51" ht="60" customHeight="1">
      <x:c r="A51" s="97" t="str">
        <x:v>AERA-DA-014</x:v>
      </x:c>
      <x:c r="B51" s="98" t="str">
        <x:v>DA</x:v>
      </x:c>
      <x:c r="C51" s="98" t="str">
        <x:v>When independent evidence is required, the implementation SHALL evaluate common sensor, data, model, provider, clock, network, power, and control-plane dependencies; correlated sources SHALL NOT be counted as independent without justification.</x:v>
      </x:c>
      <x:c r="D51" s="98" t="str">
        <x:v>Failure-domain model; dependency graph; common-mode fault-injection results.</x:v>
      </x:c>
      <x:c r="E51" s="98" t="str">
        <x:v>PROPOSED</x:v>
      </x:c>
      <x:c r="F51" s="98" t="str">
        <x:v>1.1 RC1 or earlier - lineage pending</x:v>
      </x:c>
      <x:c r="G51" s="98" t="str"/>
      <x:c r="H51" s="98" t="str"/>
      <x:c r="I51" s="98" t="str"/>
      <x:c r="J51" s="98" t="str"/>
      <x:c r="K51" s="98" t="str"/>
      <x:c r="L51" s="98" t="str"/>
      <x:c r="M51" s="98" t="str">
        <x:v>UNDETERMINED - claim-specific profile matrix required</x:v>
      </x:c>
      <x:c r="N51" s="98" t="str">
        <x:v>1.2 WD</x:v>
      </x:c>
      <x:c r="O51" s="98" t="str">
        <x:v>AERA-001-1.2WD-20260807.1</x:v>
      </x:c>
      <x:c r="P51" s="99" t="str">
        <x:v>Authoritative PDF Appendix A; generated from controlled source</x:v>
      </x:c>
    </x:row>
    <x:row r="52" ht="60" customHeight="1">
      <x:c r="A52" s="97" t="str">
        <x:v>AERA-DA-015</x:v>
      </x:c>
      <x:c r="B52" s="98" t="str">
        <x:v>DA</x:v>
      </x:c>
      <x:c r="C52" s="98" t="str">
        <x:v>Evidence source identity and integrity SHALL be verified before evidence contributes to authorization; unverifiable evidence SHALL be excluded or explicitly treated as untrusted by policy.</x:v>
      </x:c>
      <x:c r="D52" s="98" t="str">
        <x:v>Source-authentication records; forged-source tests; exclusion behavior.</x:v>
      </x:c>
      <x:c r="E52" s="98" t="str">
        <x:v>PROPOSED</x:v>
      </x:c>
      <x:c r="F52" s="98" t="str">
        <x:v>1.1 RC1 or earlier - lineage pending</x:v>
      </x:c>
      <x:c r="G52" s="98" t="str"/>
      <x:c r="H52" s="98" t="str"/>
      <x:c r="I52" s="98" t="str"/>
      <x:c r="J52" s="98" t="str"/>
      <x:c r="K52" s="98" t="str"/>
      <x:c r="L52" s="98" t="str"/>
      <x:c r="M52" s="98" t="str">
        <x:v>UNDETERMINED - claim-specific profile matrix required</x:v>
      </x:c>
      <x:c r="N52" s="98" t="str">
        <x:v>1.2 WD</x:v>
      </x:c>
      <x:c r="O52" s="98" t="str">
        <x:v>AERA-001-1.2WD-20260807.1</x:v>
      </x:c>
      <x:c r="P52" s="99" t="str">
        <x:v>Authoritative PDF Appendix A; generated from controlled source</x:v>
      </x:c>
    </x:row>
    <x:row r="53" ht="60" customHeight="1">
      <x:c r="A53" s="97" t="str">
        <x:v>AERA-DA-016</x:v>
      </x:c>
      <x:c r="B53" s="98" t="str">
        <x:v>DA</x:v>
      </x:c>
      <x:c r="C53" s="98" t="str">
        <x:v>Decision policy SHALL define how contradictory, missing, ambiguous, and out-of-distribution evidence changes the disposition; a scalar confidence value SHALL NOT conceal a failed mandatory evidence condition.</x:v>
      </x:c>
      <x:c r="D53" s="98" t="str">
        <x:v>Contradiction test set; policy traces; mandatory-condition tests.</x:v>
      </x:c>
      <x:c r="E53" s="98" t="str">
        <x:v>PROPOSED</x:v>
      </x:c>
      <x:c r="F53" s="98" t="str">
        <x:v>1.1 RC1 or earlier - lineage pending</x:v>
      </x:c>
      <x:c r="G53" s="98" t="str"/>
      <x:c r="H53" s="98" t="str"/>
      <x:c r="I53" s="98" t="str"/>
      <x:c r="J53" s="98" t="str"/>
      <x:c r="K53" s="98" t="str"/>
      <x:c r="L53" s="98" t="str"/>
      <x:c r="M53" s="98" t="str">
        <x:v>UNDETERMINED - claim-specific profile matrix required</x:v>
      </x:c>
      <x:c r="N53" s="98" t="str">
        <x:v>1.2 WD</x:v>
      </x:c>
      <x:c r="O53" s="98" t="str">
        <x:v>AERA-001-1.2WD-20260807.1</x:v>
      </x:c>
      <x:c r="P53" s="99" t="str">
        <x:v>Authoritative PDF Appendix A; generated from controlled source</x:v>
      </x:c>
    </x:row>
    <x:row r="54" ht="60" customHeight="1">
      <x:c r="A54" s="97" t="str">
        <x:v>AERA-DA-017</x:v>
      </x:c>
      <x:c r="B54" s="98" t="str">
        <x:v>DA</x:v>
      </x:c>
      <x:c r="C54" s="98" t="str">
        <x:v>Each evidence type SHALL have a decision-class-specific freshness and latency tolerance; evidence outside tolerance SHALL cause defer, escalation, constraint, simulation, or denial as specified by policy.</x:v>
      </x:c>
      <x:c r="D54" s="98" t="str">
        <x:v>Freshness thresholds; delayed-evidence tests; expiry records.</x:v>
      </x:c>
      <x:c r="E54" s="98" t="str">
        <x:v>PROPOSED</x:v>
      </x:c>
      <x:c r="F54" s="98" t="str">
        <x:v>1.1 RC1 or earlier - lineage pending</x:v>
      </x:c>
      <x:c r="G54" s="98" t="str"/>
      <x:c r="H54" s="98" t="str"/>
      <x:c r="I54" s="98" t="str"/>
      <x:c r="J54" s="98" t="str"/>
      <x:c r="K54" s="98" t="str"/>
      <x:c r="L54" s="98" t="str"/>
      <x:c r="M54" s="98" t="str">
        <x:v>UNDETERMINED - claim-specific profile matrix required</x:v>
      </x:c>
      <x:c r="N54" s="98" t="str">
        <x:v>1.2 WD</x:v>
      </x:c>
      <x:c r="O54" s="98" t="str">
        <x:v>AERA-001-1.2WD-20260807.1</x:v>
      </x:c>
      <x:c r="P54" s="99" t="str">
        <x:v>Authoritative PDF Appendix A; generated from controlled source</x:v>
      </x:c>
    </x:row>
    <x:row r="55" ht="60" customHeight="1">
      <x:c r="A55" s="97" t="str">
        <x:v>AERA-DA-018</x:v>
      </x:c>
      <x:c r="B55" s="98" t="str">
        <x:v>DA</x:v>
      </x:c>
      <x:c r="C55" s="98" t="str">
        <x:v>Assurance state SHALL preserve separately evaluated claims for authority validity, intent alignment, evidence adequacy, actor competence, cyber integrity, temporal coherence, safety margin, and recoverability; a universal scalar score SHALL NOT override a failed mandatory claim.</x:v>
      </x:c>
      <x:c r="D55" s="98" t="str">
        <x:v>Assurance-vector schema; policy decision table; dimension-failure tests.</x:v>
      </x:c>
      <x:c r="E55" s="98" t="str">
        <x:v>PROPOSED</x:v>
      </x:c>
      <x:c r="F55" s="98" t="str">
        <x:v>1.1 RC1 or earlier - lineage pending</x:v>
      </x:c>
      <x:c r="G55" s="98" t="str"/>
      <x:c r="H55" s="98" t="str"/>
      <x:c r="I55" s="98" t="str"/>
      <x:c r="J55" s="98" t="str"/>
      <x:c r="K55" s="98" t="str"/>
      <x:c r="L55" s="98" t="str"/>
      <x:c r="M55" s="98" t="str">
        <x:v>UNDETERMINED - claim-specific profile matrix required</x:v>
      </x:c>
      <x:c r="N55" s="98" t="str">
        <x:v>1.2 WD</x:v>
      </x:c>
      <x:c r="O55" s="98" t="str">
        <x:v>AERA-001-1.2WD-20260807.1</x:v>
      </x:c>
      <x:c r="P55" s="99" t="str">
        <x:v>Authoritative PDF Appendix A; generated from controlled source</x:v>
      </x:c>
    </x:row>
    <x:row r="56" ht="60" customHeight="1">
      <x:c r="A56" s="97" t="str">
        <x:v>AERA-DA-019</x:v>
      </x:c>
      <x:c r="B56" s="98" t="str">
        <x:v>DA</x:v>
      </x:c>
      <x:c r="C56" s="98" t="str">
        <x:v>Confidence claims SHALL identify the calibration method, calibration population or operating domain, version, date, error measure, and known limits, and SHALL be monitored for calibration drift in deployment.</x:v>
      </x:c>
      <x:c r="D56" s="98" t="str">
        <x:v>Calibration report; reliability analysis; production drift alerts and response records.</x:v>
      </x:c>
      <x:c r="E56" s="98" t="str">
        <x:v>PROPOSED</x:v>
      </x:c>
      <x:c r="F56" s="98" t="str">
        <x:v>1.1 RC1 or earlier - lineage pending</x:v>
      </x:c>
      <x:c r="G56" s="98" t="str"/>
      <x:c r="H56" s="98" t="str"/>
      <x:c r="I56" s="98" t="str"/>
      <x:c r="J56" s="98" t="str"/>
      <x:c r="K56" s="98" t="str"/>
      <x:c r="L56" s="98" t="str"/>
      <x:c r="M56" s="98" t="str">
        <x:v>UNDETERMINED - claim-specific profile matrix required</x:v>
      </x:c>
      <x:c r="N56" s="98" t="str">
        <x:v>1.2 WD</x:v>
      </x:c>
      <x:c r="O56" s="98" t="str">
        <x:v>AERA-001-1.2WD-20260807.1</x:v>
      </x:c>
      <x:c r="P56" s="99" t="str">
        <x:v>Authoritative PDF Appendix A; generated from controlled source</x:v>
      </x:c>
    </x:row>
    <x:row r="57" ht="60" customHeight="1">
      <x:c r="A57" s="97" t="str">
        <x:v>AERA-DA-020</x:v>
      </x:c>
      <x:c r="B57" s="98" t="str">
        <x:v>DA</x:v>
      </x:c>
      <x:c r="C57" s="98" t="str">
        <x:v>Every time or position claim used in authorization SHALL identify its source, reference frame or time scale as applicable, uncertainty, integrity state, age, and whether the source is merely present, monitored, accepted, or actually used in the computed decision.</x:v>
      </x:c>
      <x:c r="D57" s="98" t="str">
        <x:v>PNT evidence object; source-selection logs; use-path instrumentation.</x:v>
      </x:c>
      <x:c r="E57" s="98" t="str">
        <x:v>PROPOSED</x:v>
      </x:c>
      <x:c r="F57" s="98" t="str">
        <x:v>1.1 RC1 or earlier - lineage pending</x:v>
      </x:c>
      <x:c r="G57" s="98" t="str"/>
      <x:c r="H57" s="98" t="str"/>
      <x:c r="I57" s="98" t="str"/>
      <x:c r="J57" s="98" t="str"/>
      <x:c r="K57" s="98" t="str"/>
      <x:c r="L57" s="98" t="str"/>
      <x:c r="M57" s="98" t="str">
        <x:v>UNDETERMINED - claim-specific profile matrix required</x:v>
      </x:c>
      <x:c r="N57" s="98" t="str">
        <x:v>1.2 WD</x:v>
      </x:c>
      <x:c r="O57" s="98" t="str">
        <x:v>AERA-001-1.2WD-20260807.1</x:v>
      </x:c>
      <x:c r="P57" s="99" t="str">
        <x:v>Authoritative PDF Appendix A; generated from controlled source</x:v>
      </x:c>
    </x:row>
    <x:row r="58" ht="60" customHeight="1">
      <x:c r="A58" s="97" t="str">
        <x:v>AERA-DA-021</x:v>
      </x:c>
      <x:c r="B58" s="98" t="str">
        <x:v>DA</x:v>
      </x:c>
      <x:c r="C58" s="98" t="str">
        <x:v>Decision classes dependent on PNT SHALL define disagreement thresholds, anomaly detection, holdover or alternate-source behavior, maximum uncertainty, and safe degraded operation; source loss or conflict SHALL NOT silently preserve nominal authority.</x:v>
      </x:c>
      <x:c r="D58" s="98" t="str">
        <x:v>PNT fault-injection; jamming/spoofing or simulated anomaly tests; holdover characterization.</x:v>
      </x:c>
      <x:c r="E58" s="98" t="str">
        <x:v>PROPOSED</x:v>
      </x:c>
      <x:c r="F58" s="98" t="str">
        <x:v>1.1 RC1 or earlier - lineage pending</x:v>
      </x:c>
      <x:c r="G58" s="98" t="str"/>
      <x:c r="H58" s="98" t="str"/>
      <x:c r="I58" s="98" t="str"/>
      <x:c r="J58" s="98" t="str"/>
      <x:c r="K58" s="98" t="str"/>
      <x:c r="L58" s="98" t="str"/>
      <x:c r="M58" s="98" t="str">
        <x:v>UNDETERMINED - claim-specific profile matrix required</x:v>
      </x:c>
      <x:c r="N58" s="98" t="str">
        <x:v>1.2 WD</x:v>
      </x:c>
      <x:c r="O58" s="98" t="str">
        <x:v>AERA-001-1.2WD-20260807.1</x:v>
      </x:c>
      <x:c r="P58" s="99" t="str">
        <x:v>Authoritative PDF Appendix A; generated from controlled source</x:v>
      </x:c>
    </x:row>
    <x:row r="59" ht="60" customHeight="1">
      <x:c r="A59" s="97" t="str">
        <x:v>AERA-DA-022</x:v>
      </x:c>
      <x:c r="B59" s="98" t="str">
        <x:v>DA</x:v>
      </x:c>
      <x:c r="C59" s="98" t="str">
        <x:v>Every material autonomous effect SHALL pass through a policy enforcement mechanism controlled independently from the proposing actor; direct access to an effect interface SHALL be denied unless explicitly justified as a time-bounded emergency mode.</x:v>
      </x:c>
      <x:c r="D59" s="98" t="str">
        <x:v>Architecture and trust-boundary review; bypass tests; emergency-mode approvals and logs.</x:v>
      </x:c>
      <x:c r="E59" s="98" t="str">
        <x:v>PROPOSED</x:v>
      </x:c>
      <x:c r="F59" s="98" t="str">
        <x:v>1.1 RC1 or earlier - lineage pending</x:v>
      </x:c>
      <x:c r="G59" s="98" t="str"/>
      <x:c r="H59" s="98" t="str"/>
      <x:c r="I59" s="98" t="str"/>
      <x:c r="J59" s="98" t="str"/>
      <x:c r="K59" s="98" t="str"/>
      <x:c r="L59" s="98" t="str"/>
      <x:c r="M59" s="98" t="str">
        <x:v>UNDETERMINED - claim-specific profile matrix required</x:v>
      </x:c>
      <x:c r="N59" s="98" t="str">
        <x:v>1.2 WD</x:v>
      </x:c>
      <x:c r="O59" s="98" t="str">
        <x:v>AERA-001-1.2WD-20260807.1</x:v>
      </x:c>
      <x:c r="P59" s="99" t="str">
        <x:v>Authoritative PDF Appendix A; generated from controlled source</x:v>
      </x:c>
    </x:row>
    <x:row r="60" ht="60" customHeight="1">
      <x:c r="A60" s="97" t="str">
        <x:v>AERA-DA-023</x:v>
      </x:c>
      <x:c r="B60" s="98" t="str">
        <x:v>DA</x:v>
      </x:c>
      <x:c r="C60" s="98" t="str">
        <x:v>The Decision Assurance Fabric SHALL use the canonical authorization-disposition vocabulary and semantics specified by AERA-DAF-110 through AERA-DAF-114.</x:v>
      </x:c>
      <x:c r="D60" s="98" t="str">
        <x:v>I, T</x:v>
      </x:c>
      <x:c r="E60" s="98" t="str">
        <x:v>PROPOSED</x:v>
      </x:c>
      <x:c r="F60" s="98" t="str">
        <x:v>1.1 RC1 or earlier - lineage pending</x:v>
      </x:c>
      <x:c r="G60" s="98" t="str">
        <x:v>1.2 WD</x:v>
      </x:c>
      <x:c r="H60" s="98" t="str"/>
      <x:c r="I60" s="98" t="str">
        <x:v>AERA-DAF-110</x:v>
      </x:c>
      <x:c r="J60" s="98" t="str"/>
      <x:c r="K60" s="98" t="str"/>
      <x:c r="L60" s="98" t="str">
        <x:v>Replaced legacy disposition wording with a reference to the canonical AERA-DAF-110 through AERA-DAF-114 semantics.</x:v>
      </x:c>
      <x:c r="M60" s="98" t="str">
        <x:v>UNDETERMINED - claim-specific profile matrix required</x:v>
      </x:c>
      <x:c r="N60" s="98" t="str">
        <x:v>1.2 WD</x:v>
      </x:c>
      <x:c r="O60" s="98" t="str">
        <x:v>AERA-001-1.2WD-20260807.1</x:v>
      </x:c>
      <x:c r="P60" s="99" t="str">
        <x:v>Authoritative PDF Appendix A; generated from controlled source</x:v>
      </x:c>
    </x:row>
    <x:row r="61" ht="60" customHeight="1">
      <x:c r="A61" s="97" t="str">
        <x:v>AERA-DA-024</x:v>
      </x:c>
      <x:c r="B61" s="98" t="str">
        <x:v>DA</x:v>
      </x:c>
      <x:c r="C61" s="98" t="str">
        <x:v>An authorization SHALL be limited to the exact actor, action, target, tool, parameters, sequence or transaction, context, consequence bound, and validity interval evaluated; bearer authorization not bound to these elements SHALL NOT authorize a material effect.</x:v>
      </x:c>
      <x:c r="D61" s="98" t="str">
        <x:v>Token or capability schema; replay, audience, target, and parameter substitution tests.</x:v>
      </x:c>
      <x:c r="E61" s="98" t="str">
        <x:v>PROPOSED</x:v>
      </x:c>
      <x:c r="F61" s="98" t="str">
        <x:v>1.1 RC1 or earlier - lineage pending</x:v>
      </x:c>
      <x:c r="G61" s="98" t="str"/>
      <x:c r="H61" s="98" t="str"/>
      <x:c r="I61" s="98" t="str"/>
      <x:c r="J61" s="98" t="str"/>
      <x:c r="K61" s="98" t="str"/>
      <x:c r="L61" s="98" t="str"/>
      <x:c r="M61" s="98" t="str">
        <x:v>UNDETERMINED - claim-specific profile matrix required</x:v>
      </x:c>
      <x:c r="N61" s="98" t="str">
        <x:v>1.2 WD</x:v>
      </x:c>
      <x:c r="O61" s="98" t="str">
        <x:v>AERA-001-1.2WD-20260807.1</x:v>
      </x:c>
      <x:c r="P61" s="99" t="str">
        <x:v>Authoritative PDF Appendix A; generated from controlled source</x:v>
      </x:c>
    </x:row>
    <x:row r="62" ht="60" customHeight="1">
      <x:c r="A62" s="97" t="str">
        <x:v>AERA-DA-025</x:v>
      </x:c>
      <x:c r="B62" s="98" t="str">
        <x:v>DA</x:v>
      </x:c>
      <x:c r="C62" s="98" t="str">
        <x:v>Decision Assurance Fabric outage, timeout, overload, or partition SHALL invoke a pre-engineered decision-class degraded mode; unavailability SHALL NOT be interpreted as permission.</x:v>
      </x:c>
      <x:c r="D62" s="98" t="str">
        <x:v>Capacity and partition tests; fail-safe state evidence; continuity procedure.</x:v>
      </x:c>
      <x:c r="E62" s="98" t="str">
        <x:v>PROPOSED</x:v>
      </x:c>
      <x:c r="F62" s="98" t="str">
        <x:v>1.1 RC1 or earlier - lineage pending</x:v>
      </x:c>
      <x:c r="G62" s="98" t="str"/>
      <x:c r="H62" s="98" t="str"/>
      <x:c r="I62" s="98" t="str"/>
      <x:c r="J62" s="98" t="str"/>
      <x:c r="K62" s="98" t="str"/>
      <x:c r="L62" s="98" t="str"/>
      <x:c r="M62" s="98" t="str">
        <x:v>UNDETERMINED - claim-specific profile matrix required</x:v>
      </x:c>
      <x:c r="N62" s="98" t="str">
        <x:v>1.2 WD</x:v>
      </x:c>
      <x:c r="O62" s="98" t="str">
        <x:v>AERA-001-1.2WD-20260807.1</x:v>
      </x:c>
      <x:c r="P62" s="99" t="str">
        <x:v>Authoritative PDF Appendix A; generated from controlled source</x:v>
      </x:c>
    </x:row>
    <x:row r="63" ht="60" customHeight="1">
      <x:c r="A63" s="97" t="str">
        <x:v>AERA-DA-026</x:v>
      </x:c>
      <x:c r="B63" s="98" t="str">
        <x:v>DA</x:v>
      </x:c>
      <x:c r="C63" s="98" t="str">
        <x:v>Authorization SHALL be reevaluated when any policy-defined material context changes, including actor integrity, delegation, intent, evidence, PNT state, target state, threat state, or recovery readiness.</x:v>
      </x:c>
      <x:c r="D63" s="98" t="str">
        <x:v>Context-change matrix; invalidation latency; reauthorization traces.</x:v>
      </x:c>
      <x:c r="E63" s="98" t="str">
        <x:v>PROPOSED</x:v>
      </x:c>
      <x:c r="F63" s="98" t="str">
        <x:v>1.1 RC1 or earlier - lineage pending</x:v>
      </x:c>
      <x:c r="G63" s="98" t="str"/>
      <x:c r="H63" s="98" t="str"/>
      <x:c r="I63" s="98" t="str"/>
      <x:c r="J63" s="98" t="str"/>
      <x:c r="K63" s="98" t="str"/>
      <x:c r="L63" s="98" t="str"/>
      <x:c r="M63" s="98" t="str">
        <x:v>UNDETERMINED - claim-specific profile matrix required</x:v>
      </x:c>
      <x:c r="N63" s="98" t="str">
        <x:v>1.2 WD</x:v>
      </x:c>
      <x:c r="O63" s="98" t="str">
        <x:v>AERA-001-1.2WD-20260807.1</x:v>
      </x:c>
      <x:c r="P63" s="99" t="str">
        <x:v>Authoritative PDF Appendix A; generated from controlled source</x:v>
      </x:c>
    </x:row>
    <x:row r="64" ht="60" customHeight="1">
      <x:c r="A64" s="97" t="str">
        <x:v>AERA-DA-027</x:v>
      </x:c>
      <x:c r="B64" s="98" t="str">
        <x:v>DA</x:v>
      </x:c>
      <x:c r="C64" s="98" t="str">
        <x:v>The implementation SHALL evaluate cumulative and interacting effects across time, actors, tools, and targets and enforce rolling budgets or state constraints that prevent decomposition of a prohibited action into individually permitted actions.</x:v>
      </x:c>
      <x:c r="D64" s="98" t="str">
        <x:v>Stateful test scenarios; budget enforcement; multi-actor sequence analysis.</x:v>
      </x:c>
      <x:c r="E64" s="98" t="str">
        <x:v>PROPOSED</x:v>
      </x:c>
      <x:c r="F64" s="98" t="str">
        <x:v>1.1 RC1 or earlier - lineage pending</x:v>
      </x:c>
      <x:c r="G64" s="98" t="str"/>
      <x:c r="H64" s="98" t="str"/>
      <x:c r="I64" s="98" t="str"/>
      <x:c r="J64" s="98" t="str"/>
      <x:c r="K64" s="98" t="str"/>
      <x:c r="L64" s="98" t="str"/>
      <x:c r="M64" s="98" t="str">
        <x:v>UNDETERMINED - claim-specific profile matrix required</x:v>
      </x:c>
      <x:c r="N64" s="98" t="str">
        <x:v>1.2 WD</x:v>
      </x:c>
      <x:c r="O64" s="98" t="str">
        <x:v>AERA-001-1.2WD-20260807.1</x:v>
      </x:c>
      <x:c r="P64" s="99" t="str">
        <x:v>Authoritative PDF Appendix A; generated from controlled source</x:v>
      </x:c>
    </x:row>
    <x:row r="65" ht="60" customHeight="1">
      <x:c r="A65" s="97" t="str">
        <x:v>AERA-DA-028</x:v>
      </x:c>
      <x:c r="B65" s="98" t="str">
        <x:v>DA</x:v>
      </x:c>
      <x:c r="C65" s="98" t="str">
        <x:v>Tool credentials and capabilities SHALL be least-privileged, audience-restricted, target-restricted, action-restricted, time-bounded, and unavailable to the actor outside the authorized transaction.</x:v>
      </x:c>
      <x:c r="D65" s="98" t="str">
        <x:v>Entitlement review; credential issuance logs; negative tool-use tests.</x:v>
      </x:c>
      <x:c r="E65" s="98" t="str">
        <x:v>PROPOSED</x:v>
      </x:c>
      <x:c r="F65" s="98" t="str">
        <x:v>1.1 RC1 or earlier - lineage pending</x:v>
      </x:c>
      <x:c r="G65" s="98" t="str"/>
      <x:c r="H65" s="98" t="str"/>
      <x:c r="I65" s="98" t="str"/>
      <x:c r="J65" s="98" t="str"/>
      <x:c r="K65" s="98" t="str"/>
      <x:c r="L65" s="98" t="str"/>
      <x:c r="M65" s="98" t="str">
        <x:v>UNDETERMINED - claim-specific profile matrix required</x:v>
      </x:c>
      <x:c r="N65" s="98" t="str">
        <x:v>1.2 WD</x:v>
      </x:c>
      <x:c r="O65" s="98" t="str">
        <x:v>AERA-001-1.2WD-20260807.1</x:v>
      </x:c>
      <x:c r="P65" s="99" t="str">
        <x:v>Authoritative PDF Appendix A; generated from controlled source</x:v>
      </x:c>
    </x:row>
    <x:row r="66" ht="60" customHeight="1">
      <x:c r="A66" s="97" t="str">
        <x:v>AERA-DA-029</x:v>
      </x:c>
      <x:c r="B66" s="98" t="str">
        <x:v>DA</x:v>
      </x:c>
      <x:c r="C66" s="98" t="str">
        <x:v>A quorum, consensus, or independent-review rule SHALL define independence in terms of controller, model lineage, training data, evidence source, operator, provider, clock, and failure domain; numerical plurality alone SHALL NOT establish independence.</x:v>
      </x:c>
      <x:c r="D66" s="98" t="str">
        <x:v>Independence model; collusion tests; quorum policy and provenance.</x:v>
      </x:c>
      <x:c r="E66" s="98" t="str">
        <x:v>PROPOSED</x:v>
      </x:c>
      <x:c r="F66" s="98" t="str">
        <x:v>1.1 RC1 or earlier - lineage pending</x:v>
      </x:c>
      <x:c r="G66" s="98" t="str"/>
      <x:c r="H66" s="98" t="str"/>
      <x:c r="I66" s="98" t="str"/>
      <x:c r="J66" s="98" t="str"/>
      <x:c r="K66" s="98" t="str"/>
      <x:c r="L66" s="98" t="str"/>
      <x:c r="M66" s="98" t="str">
        <x:v>UNDETERMINED - claim-specific profile matrix required</x:v>
      </x:c>
      <x:c r="N66" s="98" t="str">
        <x:v>1.2 WD</x:v>
      </x:c>
      <x:c r="O66" s="98" t="str">
        <x:v>AERA-001-1.2WD-20260807.1</x:v>
      </x:c>
      <x:c r="P66" s="99" t="str">
        <x:v>Authoritative PDF Appendix A; generated from controlled source</x:v>
      </x:c>
    </x:row>
    <x:row r="67" ht="60" customHeight="1">
      <x:c r="A67" s="97" t="str">
        <x:v>AERA-DA-030</x:v>
      </x:c>
      <x:c r="B67" s="98" t="str">
        <x:v>DA</x:v>
      </x:c>
      <x:c r="C67" s="98" t="str">
        <x:v>Results from external AI, optimization, classical-compute, or quantum services SHALL be bound to the submitted request, provider and service version, execution context, time, uncertainty, and validation method; consequential use SHALL have a characterized fallback and independently controlled enforcement path.</x:v>
      </x:c>
      <x:c r="D67" s="98" t="str">
        <x:v>Service contract; request/result binding; plausibility tests; fallback and provider-failure exercise.</x:v>
      </x:c>
      <x:c r="E67" s="98" t="str">
        <x:v>PROPOSED</x:v>
      </x:c>
      <x:c r="F67" s="98" t="str">
        <x:v>1.1 RC1 or earlier - lineage pending</x:v>
      </x:c>
      <x:c r="G67" s="98" t="str"/>
      <x:c r="H67" s="98" t="str"/>
      <x:c r="I67" s="98" t="str"/>
      <x:c r="J67" s="98" t="str"/>
      <x:c r="K67" s="98" t="str"/>
      <x:c r="L67" s="98" t="str"/>
      <x:c r="M67" s="98" t="str">
        <x:v>UNDETERMINED - claim-specific profile matrix required</x:v>
      </x:c>
      <x:c r="N67" s="98" t="str">
        <x:v>1.2 WD</x:v>
      </x:c>
      <x:c r="O67" s="98" t="str">
        <x:v>AERA-001-1.2WD-20260807.1</x:v>
      </x:c>
      <x:c r="P67" s="99" t="str">
        <x:v>Authoritative PDF Appendix A; generated from controlled source</x:v>
      </x:c>
    </x:row>
    <x:row r="68" ht="60" customHeight="1">
      <x:c r="A68" s="97" t="str">
        <x:v>AERA-DA-031</x:v>
      </x:c>
      <x:c r="B68" s="98" t="str">
        <x:v>DA</x:v>
      </x:c>
      <x:c r="C68" s="98" t="str">
        <x:v>The implementation SHALL retain a tamper-evident causal record linking intent, delegation, actor and tool identity, proposal, evidence, assurance state, policy, disposition, enforcement, observed effect, override, and recovery action.</x:v>
      </x:c>
      <x:c r="D68" s="98" t="str">
        <x:v>End-to-end reconstruction exercise; log-integrity verification; completeness sampling.</x:v>
      </x:c>
      <x:c r="E68" s="98" t="str">
        <x:v>PROPOSED</x:v>
      </x:c>
      <x:c r="F68" s="98" t="str">
        <x:v>1.1 RC1 or earlier - lineage pending</x:v>
      </x:c>
      <x:c r="G68" s="98" t="str"/>
      <x:c r="H68" s="98" t="str"/>
      <x:c r="I68" s="98" t="str"/>
      <x:c r="J68" s="98" t="str"/>
      <x:c r="K68" s="98" t="str"/>
      <x:c r="L68" s="98" t="str"/>
      <x:c r="M68" s="98" t="str">
        <x:v>UNDETERMINED - claim-specific profile matrix required</x:v>
      </x:c>
      <x:c r="N68" s="98" t="str">
        <x:v>1.2 WD</x:v>
      </x:c>
      <x:c r="O68" s="98" t="str">
        <x:v>AERA-001-1.2WD-20260807.1</x:v>
      </x:c>
      <x:c r="P68" s="99" t="str">
        <x:v>Authoritative PDF Appendix A; generated from controlled source</x:v>
      </x:c>
    </x:row>
    <x:row r="69" ht="60" customHeight="1">
      <x:c r="A69" s="97" t="str">
        <x:v>AERA-DA-032</x:v>
      </x:c>
      <x:c r="B69" s="98" t="str">
        <x:v>DA</x:v>
      </x:c>
      <x:c r="C69" s="98" t="str">
        <x:v>Each decision class SHALL define a recovery envelope with detection triggers, containment and disengagement authority, safe states, rollback or compensation actions, required resources, and maximum recovery time; the recovery path SHALL be periodically tested independently of the actor.</x:v>
      </x:c>
      <x:c r="D69" s="98" t="str">
        <x:v>Recovery plan; exercise results; override-path independence evidence.</x:v>
      </x:c>
      <x:c r="E69" s="98" t="str">
        <x:v>PROPOSED</x:v>
      </x:c>
      <x:c r="F69" s="98" t="str">
        <x:v>1.1 RC1 or earlier - lineage pending</x:v>
      </x:c>
      <x:c r="G69" s="98" t="str"/>
      <x:c r="H69" s="98" t="str"/>
      <x:c r="I69" s="98" t="str"/>
      <x:c r="J69" s="98" t="str"/>
      <x:c r="K69" s="98" t="str"/>
      <x:c r="L69" s="98" t="str"/>
      <x:c r="M69" s="98" t="str">
        <x:v>UNDETERMINED - claim-specific profile matrix required</x:v>
      </x:c>
      <x:c r="N69" s="98" t="str">
        <x:v>1.2 WD</x:v>
      </x:c>
      <x:c r="O69" s="98" t="str">
        <x:v>AERA-001-1.2WD-20260807.1</x:v>
      </x:c>
      <x:c r="P69" s="99" t="str">
        <x:v>Authoritative PDF Appendix A; generated from controlled source</x:v>
      </x:c>
    </x:row>
    <x:row r="70" ht="60" customHeight="1">
      <x:c r="A70" s="97" t="str">
        <x:v>AERA-DA-033</x:v>
      </x:c>
      <x:c r="B70" s="98" t="str">
        <x:v>DA</x:v>
      </x:c>
      <x:c r="C70" s="98" t="str">
        <x:v>Runtime monitoring SHALL detect changes in actor integrity, authority, policy, evidence quality, calibration, PNT state, action sequence, target state, and recovery readiness and SHALL trigger the prescribed reauthorization or recovery action.</x:v>
      </x:c>
      <x:c r="D70" s="98" t="str">
        <x:v>Monitoring coverage matrix; alert-to-action tests; operational metrics.</x:v>
      </x:c>
      <x:c r="E70" s="98" t="str">
        <x:v>PROPOSED</x:v>
      </x:c>
      <x:c r="F70" s="98" t="str">
        <x:v>1.1 RC1 or earlier - lineage pending</x:v>
      </x:c>
      <x:c r="G70" s="98" t="str"/>
      <x:c r="H70" s="98" t="str"/>
      <x:c r="I70" s="98" t="str"/>
      <x:c r="J70" s="98" t="str"/>
      <x:c r="K70" s="98" t="str"/>
      <x:c r="L70" s="98" t="str"/>
      <x:c r="M70" s="98" t="str">
        <x:v>UNDETERMINED - claim-specific profile matrix required</x:v>
      </x:c>
      <x:c r="N70" s="98" t="str">
        <x:v>1.2 WD</x:v>
      </x:c>
      <x:c r="O70" s="98" t="str">
        <x:v>AERA-001-1.2WD-20260807.1</x:v>
      </x:c>
      <x:c r="P70" s="99" t="str">
        <x:v>Authoritative PDF Appendix A; generated from controlled source</x:v>
      </x:c>
    </x:row>
    <x:row r="71" ht="60" customHeight="1">
      <x:c r="A71" s="97" t="str">
        <x:v>AERA-DA-034</x:v>
      </x:c>
      <x:c r="B71" s="98" t="str">
        <x:v>DA</x:v>
      </x:c>
      <x:c r="C71" s="98" t="str">
        <x:v>Any update that can change autonomous behavior - including model, prompt, policy, memory, data, tool, dependency, or threshold changes - SHALL be versioned, provenance-bound, tested, approved at the applicable consequence level, observable after release, and reversible.</x:v>
      </x:c>
      <x:c r="D71" s="98" t="str">
        <x:v>Configuration baseline; test and approval record; staged-release and rollback evidence.</x:v>
      </x:c>
      <x:c r="E71" s="98" t="str">
        <x:v>PROPOSED</x:v>
      </x:c>
      <x:c r="F71" s="98" t="str">
        <x:v>1.1 RC1 or earlier - lineage pending</x:v>
      </x:c>
      <x:c r="G71" s="98" t="str"/>
      <x:c r="H71" s="98" t="str"/>
      <x:c r="I71" s="98" t="str"/>
      <x:c r="J71" s="98" t="str"/>
      <x:c r="K71" s="98" t="str"/>
      <x:c r="L71" s="98" t="str"/>
      <x:c r="M71" s="98" t="str">
        <x:v>UNDETERMINED - claim-specific profile matrix required</x:v>
      </x:c>
      <x:c r="N71" s="98" t="str">
        <x:v>1.2 WD</x:v>
      </x:c>
      <x:c r="O71" s="98" t="str">
        <x:v>AERA-001-1.2WD-20260807.1</x:v>
      </x:c>
      <x:c r="P71" s="99" t="str">
        <x:v>Authoritative PDF Appendix A; generated from controlled source</x:v>
      </x:c>
    </x:row>
    <x:row r="72" ht="60" customHeight="1">
      <x:c r="A72" s="97" t="str">
        <x:v>AERA-DA-035</x:v>
      </x:c>
      <x:c r="B72" s="98" t="str">
        <x:v>DA</x:v>
      </x:c>
      <x:c r="C72" s="98" t="str">
        <x:v>Verification and validation SHALL exercise every applicable threat in DAT-01 through DAT-25 under nominal, boundary, adversarial, degraded, partitioned, common-mode, and recovery conditions proportional to consequence; untested threats SHALL remain open assurance claims.</x:v>
      </x:c>
      <x:c r="D72" s="98" t="str">
        <x:v>I, A, T, D</x:v>
      </x:c>
      <x:c r="E72" s="98" t="str">
        <x:v>PROPOSED</x:v>
      </x:c>
      <x:c r="F72" s="98" t="str">
        <x:v>1.1 RC1 or earlier - lineage pending</x:v>
      </x:c>
      <x:c r="G72" s="98" t="str"/>
      <x:c r="H72" s="98" t="str"/>
      <x:c r="I72" s="98" t="str"/>
      <x:c r="J72" s="98" t="str"/>
      <x:c r="K72" s="98" t="str"/>
      <x:c r="L72" s="98" t="str"/>
      <x:c r="M72" s="98" t="str">
        <x:v>UNDETERMINED - claim-specific profile matrix required</x:v>
      </x:c>
      <x:c r="N72" s="98" t="str">
        <x:v>1.2 WD</x:v>
      </x:c>
      <x:c r="O72" s="98" t="str">
        <x:v>AERA-001-1.2WD-20260807.1</x:v>
      </x:c>
      <x:c r="P72" s="99" t="str">
        <x:v>Authoritative PDF Appendix A; generated from controlled source</x:v>
      </x:c>
    </x:row>
    <x:row r="73" ht="60" customHeight="1">
      <x:c r="A73" s="97" t="str">
        <x:v>AERA-DA-036</x:v>
      </x:c>
      <x:c r="B73" s="98" t="str">
        <x:v>DA</x:v>
      </x:c>
      <x:c r="C73" s="98" t="str">
        <x:v>The organization SHALL maintain an inventory of cryptographic uses supporting delegation, identity, evidence, authorization, audit, communications, and recovery; assess confidentiality and signature exposure periods; plan crypto-agile migration; select applicable standardized algorithms and parameters; track authoritative errata; and verify implementation, protocol, interoperability, performance, and validation status before claiming post-quantum protection.</x:v>
      </x:c>
      <x:c r="D73" s="98" t="str">
        <x:v>Cryptographic inventory; migration plan; algorithm and protocol test evidence; errata review; validation records.</x:v>
      </x:c>
      <x:c r="E73" s="98" t="str">
        <x:v>PROPOSED</x:v>
      </x:c>
      <x:c r="F73" s="98" t="str">
        <x:v>1.1 RC1 or earlier - lineage pending</x:v>
      </x:c>
      <x:c r="G73" s="98" t="str"/>
      <x:c r="H73" s="98" t="str"/>
      <x:c r="I73" s="98" t="str"/>
      <x:c r="J73" s="98" t="str"/>
      <x:c r="K73" s="98" t="str"/>
      <x:c r="L73" s="98" t="str"/>
      <x:c r="M73" s="98" t="str">
        <x:v>UNDETERMINED - claim-specific profile matrix required</x:v>
      </x:c>
      <x:c r="N73" s="98" t="str">
        <x:v>1.2 WD</x:v>
      </x:c>
      <x:c r="O73" s="98" t="str">
        <x:v>AERA-001-1.2WD-20260807.1</x:v>
      </x:c>
      <x:c r="P73" s="99" t="str">
        <x:v>Authoritative PDF Appendix A; generated from controlled source</x:v>
      </x:c>
    </x:row>
    <x:row r="74" ht="60" customHeight="1">
      <x:c r="A74" s="97" t="str">
        <x:v>AERA-DAF-001</x:v>
      </x:c>
      <x:c r="B74" s="98" t="str">
        <x:v>DAF</x:v>
      </x:c>
      <x:c r="C74" s="98" t="str">
        <x:v>Before material effect, the DAF SHALL evaluate exact proposal, actor/integrity, authority, intent, target/context, consequence, evidence/provenance, cyber state, time, dependencies, approvals, and recovery.</x:v>
      </x:c>
      <x:c r="D74" s="98" t="str">
        <x:v>I, T</x:v>
      </x:c>
      <x:c r="E74" s="98" t="str">
        <x:v>PROPOSED</x:v>
      </x:c>
      <x:c r="F74" s="98" t="str">
        <x:v>1.1 RC1 or earlier - lineage pending</x:v>
      </x:c>
      <x:c r="G74" s="98" t="str"/>
      <x:c r="H74" s="98" t="str"/>
      <x:c r="I74" s="98" t="str"/>
      <x:c r="J74" s="98" t="str"/>
      <x:c r="K74" s="98" t="str"/>
      <x:c r="L74" s="98" t="str"/>
      <x:c r="M74" s="98" t="str">
        <x:v>UNDETERMINED - claim-specific profile matrix required</x:v>
      </x:c>
      <x:c r="N74" s="98" t="str">
        <x:v>1.2 WD</x:v>
      </x:c>
      <x:c r="O74" s="98" t="str">
        <x:v>AERA-001-1.2WD-20260807.1</x:v>
      </x:c>
      <x:c r="P74" s="99" t="str">
        <x:v>Authoritative PDF Appendix A; generated from controlled source</x:v>
      </x:c>
    </x:row>
    <x:row r="75" ht="60" customHeight="1">
      <x:c r="A75" s="97" t="str">
        <x:v>AERA-DAF-002</x:v>
      </x:c>
      <x:c r="B75" s="98" t="str">
        <x:v>DAF</x:v>
      </x:c>
      <x:c r="C75" s="98" t="str">
        <x:v>A permit SHALL be integrity-bound to actor, action, target, parameters, context, evidence, authority, intent, policy, consequence, and validity, and invalidated by expiry or material bound-element change.</x:v>
      </x:c>
      <x:c r="D75" s="98" t="str">
        <x:v>I, T</x:v>
      </x:c>
      <x:c r="E75" s="98" t="str">
        <x:v>PROPOSED</x:v>
      </x:c>
      <x:c r="F75" s="98" t="str">
        <x:v>1.1 RC1 or earlier - lineage pending</x:v>
      </x:c>
      <x:c r="G75" s="98" t="str"/>
      <x:c r="H75" s="98" t="str"/>
      <x:c r="I75" s="98" t="str"/>
      <x:c r="J75" s="98" t="str"/>
      <x:c r="K75" s="98" t="str"/>
      <x:c r="L75" s="98" t="str"/>
      <x:c r="M75" s="98" t="str">
        <x:v>UNDETERMINED - claim-specific profile matrix required</x:v>
      </x:c>
      <x:c r="N75" s="98" t="str">
        <x:v>1.2 WD</x:v>
      </x:c>
      <x:c r="O75" s="98" t="str">
        <x:v>AERA-001-1.2WD-20260807.1</x:v>
      </x:c>
      <x:c r="P75" s="99" t="str">
        <x:v>Authoritative PDF Appendix A; generated from controlled source</x:v>
      </x:c>
    </x:row>
    <x:row r="76" ht="60" customHeight="1">
      <x:c r="A76" s="97" t="str">
        <x:v>AERA-DAF-003</x:v>
      </x:c>
      <x:c r="B76" s="98" t="str">
        <x:v>DAF</x:v>
      </x:c>
      <x:c r="C76" s="98" t="str">
        <x:v>A Decision Assurance Fabric implementation SHALL document and test a one-to-one mapping from any external disposition label to the canonical AERA dispositions defined by AERA-DAF-110.</x:v>
      </x:c>
      <x:c r="D76" s="98" t="str">
        <x:v>I, T</x:v>
      </x:c>
      <x:c r="E76" s="98" t="str">
        <x:v>PROPOSED</x:v>
      </x:c>
      <x:c r="F76" s="98" t="str">
        <x:v>1.1 RC1 or earlier - lineage pending</x:v>
      </x:c>
      <x:c r="G76" s="98" t="str">
        <x:v>1.2 WD</x:v>
      </x:c>
      <x:c r="H76" s="98" t="str"/>
      <x:c r="I76" s="98" t="str">
        <x:v>AERA-DAF-110</x:v>
      </x:c>
      <x:c r="J76" s="98" t="str"/>
      <x:c r="K76" s="98" t="str"/>
      <x:c r="L76" s="98" t="str">
        <x:v>Replaced the legacy constrain vocabulary with a tested one-to-one mapping obligation to AERA-DAF-110.</x:v>
      </x:c>
      <x:c r="M76" s="98" t="str">
        <x:v>UNDETERMINED - claim-specific profile matrix required</x:v>
      </x:c>
      <x:c r="N76" s="98" t="str">
        <x:v>1.2 WD</x:v>
      </x:c>
      <x:c r="O76" s="98" t="str">
        <x:v>AERA-001-1.2WD-20260807.1</x:v>
      </x:c>
      <x:c r="P76" s="99" t="str">
        <x:v>Authoritative PDF Appendix A; generated from controlled source</x:v>
      </x:c>
    </x:row>
    <x:row r="77" ht="60" customHeight="1">
      <x:c r="A77" s="97" t="str">
        <x:v>AERA-DAF-004</x:v>
      </x:c>
      <x:c r="B77" s="98" t="str">
        <x:v>DAF</x:v>
      </x:c>
      <x:c r="C77" s="98" t="str">
        <x:v>The proposer SHALL NOT be sole authority, evidence source, and enforcement for its material effect; consequence-appropriate separation SHALL be verified.</x:v>
      </x:c>
      <x:c r="D77" s="98" t="str">
        <x:v>A, T</x:v>
      </x:c>
      <x:c r="E77" s="98" t="str">
        <x:v>PROPOSED</x:v>
      </x:c>
      <x:c r="F77" s="98" t="str">
        <x:v>1.1 RC1 or earlier - lineage pending</x:v>
      </x:c>
      <x:c r="G77" s="98" t="str"/>
      <x:c r="H77" s="98" t="str"/>
      <x:c r="I77" s="98" t="str"/>
      <x:c r="J77" s="98" t="str"/>
      <x:c r="K77" s="98" t="str"/>
      <x:c r="L77" s="98" t="str"/>
      <x:c r="M77" s="98" t="str">
        <x:v>UNDETERMINED - claim-specific profile matrix required</x:v>
      </x:c>
      <x:c r="N77" s="98" t="str">
        <x:v>1.2 WD</x:v>
      </x:c>
      <x:c r="O77" s="98" t="str">
        <x:v>AERA-001-1.2WD-20260807.1</x:v>
      </x:c>
      <x:c r="P77" s="99" t="str">
        <x:v>Authoritative PDF Appendix A; generated from controlled source</x:v>
      </x:c>
    </x:row>
    <x:row r="78" ht="60" customHeight="1">
      <x:c r="A78" s="97" t="str">
        <x:v>AERA-DAF-005</x:v>
      </x:c>
      <x:c r="B78" s="98" t="str">
        <x:v>DAF</x:v>
      </x:c>
      <x:c r="C78" s="98" t="str">
        <x:v>Each class SHALL define/test DAF loss, partition, degradation, and staleness behavior; assurance loss SHALL NOT create implicit or over-valid authorization.</x:v>
      </x:c>
      <x:c r="D78" s="98" t="str">
        <x:v>A, T</x:v>
      </x:c>
      <x:c r="E78" s="98" t="str">
        <x:v>PROPOSED</x:v>
      </x:c>
      <x:c r="F78" s="98" t="str">
        <x:v>1.1 RC1 or earlier - lineage pending</x:v>
      </x:c>
      <x:c r="G78" s="98" t="str"/>
      <x:c r="H78" s="98" t="str"/>
      <x:c r="I78" s="98" t="str"/>
      <x:c r="J78" s="98" t="str"/>
      <x:c r="K78" s="98" t="str"/>
      <x:c r="L78" s="98" t="str"/>
      <x:c r="M78" s="98" t="str">
        <x:v>UNDETERMINED - claim-specific profile matrix required</x:v>
      </x:c>
      <x:c r="N78" s="98" t="str">
        <x:v>1.2 WD</x:v>
      </x:c>
      <x:c r="O78" s="98" t="str">
        <x:v>AERA-001-1.2WD-20260807.1</x:v>
      </x:c>
      <x:c r="P78" s="99" t="str">
        <x:v>Authoritative PDF Appendix A; generated from controlled source</x:v>
      </x:c>
    </x:row>
    <x:row r="79" ht="60" customHeight="1">
      <x:c r="A79" s="97" t="str">
        <x:v>AERA-DAF-101</x:v>
      </x:c>
      <x:c r="B79" s="98" t="str">
        <x:v>DAF</x:v>
      </x:c>
      <x:c r="C79" s="98" t="str">
        <x:v>The DAF SHALL establish a globally unique decision-transaction identifier for each proposed material effect before assurance evaluation begins.</x:v>
      </x:c>
      <x:c r="D79" s="98" t="str">
        <x:v>I, T</x:v>
      </x:c>
      <x:c r="E79" s="98" t="str">
        <x:v>PROPOSED</x:v>
      </x:c>
      <x:c r="F79" s="98" t="str">
        <x:v>1.1 RC1 or earlier - lineage pending</x:v>
      </x:c>
      <x:c r="G79" s="98" t="str"/>
      <x:c r="H79" s="98" t="str"/>
      <x:c r="I79" s="98" t="str"/>
      <x:c r="J79" s="98" t="str"/>
      <x:c r="K79" s="98" t="str"/>
      <x:c r="L79" s="98" t="str"/>
      <x:c r="M79" s="98" t="str">
        <x:v>UNDETERMINED - claim-specific profile matrix required</x:v>
      </x:c>
      <x:c r="N79" s="98" t="str">
        <x:v>1.2 WD</x:v>
      </x:c>
      <x:c r="O79" s="98" t="str">
        <x:v>AERA-001-1.2WD-20260807.1</x:v>
      </x:c>
      <x:c r="P79" s="99" t="str">
        <x:v>Authoritative PDF Appendix A; generated from controlled source</x:v>
      </x:c>
    </x:row>
    <x:row r="80" ht="60" customHeight="1">
      <x:c r="A80" s="97" t="str">
        <x:v>AERA-DAF-102</x:v>
      </x:c>
      <x:c r="B80" s="98" t="str">
        <x:v>DAF</x:v>
      </x:c>
      <x:c r="C80" s="98" t="str">
        <x:v>The DAF SHALL canonicalize the actor, action, parameters, target, purpose, context, and execution window before assurance evaluation.</x:v>
      </x:c>
      <x:c r="D80" s="98" t="str">
        <x:v>I, T</x:v>
      </x:c>
      <x:c r="E80" s="98" t="str">
        <x:v>PROPOSED</x:v>
      </x:c>
      <x:c r="F80" s="98" t="str">
        <x:v>1.1 RC1 or earlier - lineage pending</x:v>
      </x:c>
      <x:c r="G80" s="98" t="str"/>
      <x:c r="H80" s="98" t="str"/>
      <x:c r="I80" s="98" t="str"/>
      <x:c r="J80" s="98" t="str"/>
      <x:c r="K80" s="98" t="str"/>
      <x:c r="L80" s="98" t="str"/>
      <x:c r="M80" s="98" t="str">
        <x:v>UNDETERMINED - claim-specific profile matrix required</x:v>
      </x:c>
      <x:c r="N80" s="98" t="str">
        <x:v>1.2 WD</x:v>
      </x:c>
      <x:c r="O80" s="98" t="str">
        <x:v>AERA-001-1.2WD-20260807.1</x:v>
      </x:c>
      <x:c r="P80" s="99" t="str">
        <x:v>Authoritative PDF Appendix A; generated from controlled source</x:v>
      </x:c>
    </x:row>
    <x:row r="81" ht="60" customHeight="1">
      <x:c r="A81" s="97" t="str">
        <x:v>AERA-DAF-103</x:v>
      </x:c>
      <x:c r="B81" s="98" t="str">
        <x:v>DAF</x:v>
      </x:c>
      <x:c r="C81" s="98" t="str">
        <x:v>The DAF SHALL bind each evaluation and authorization artifact to the canonical proposal, effective authority chain, intent version, evidence snapshot, policy and evaluator versions, consequence class, and validity limits.</x:v>
      </x:c>
      <x:c r="D81" s="98" t="str">
        <x:v>I, T</x:v>
      </x:c>
      <x:c r="E81" s="98" t="str">
        <x:v>PROPOSED</x:v>
      </x:c>
      <x:c r="F81" s="98" t="str">
        <x:v>1.1 RC1 or earlier - lineage pending</x:v>
      </x:c>
      <x:c r="G81" s="98" t="str"/>
      <x:c r="H81" s="98" t="str"/>
      <x:c r="I81" s="98" t="str"/>
      <x:c r="J81" s="98" t="str"/>
      <x:c r="K81" s="98" t="str"/>
      <x:c r="L81" s="98" t="str"/>
      <x:c r="M81" s="98" t="str">
        <x:v>UNDETERMINED - claim-specific profile matrix required</x:v>
      </x:c>
      <x:c r="N81" s="98" t="str">
        <x:v>1.2 WD</x:v>
      </x:c>
      <x:c r="O81" s="98" t="str">
        <x:v>AERA-001-1.2WD-20260807.1</x:v>
      </x:c>
      <x:c r="P81" s="99" t="str">
        <x:v>Authoritative PDF Appendix A; generated from controlled source</x:v>
      </x:c>
    </x:row>
    <x:row r="82" ht="60" customHeight="1">
      <x:c r="A82" s="97" t="str">
        <x:v>AERA-DAF-104</x:v>
      </x:c>
      <x:c r="B82" s="98" t="str">
        <x:v>DAF</x:v>
      </x:c>
      <x:c r="C82" s="98" t="str">
        <x:v>Any material change to a bound transaction input SHALL invalidate the prior permit or cause re-evaluation and issuance of a new disposition before any further effect.</x:v>
      </x:c>
      <x:c r="D82" s="98" t="str">
        <x:v>A, T</x:v>
      </x:c>
      <x:c r="E82" s="98" t="str">
        <x:v>PROPOSED</x:v>
      </x:c>
      <x:c r="F82" s="98" t="str">
        <x:v>1.1 RC1 or earlier - lineage pending</x:v>
      </x:c>
      <x:c r="G82" s="98" t="str"/>
      <x:c r="H82" s="98" t="str"/>
      <x:c r="I82" s="98" t="str"/>
      <x:c r="J82" s="98" t="str"/>
      <x:c r="K82" s="98" t="str"/>
      <x:c r="L82" s="98" t="str"/>
      <x:c r="M82" s="98" t="str">
        <x:v>UNDETERMINED - claim-specific profile matrix required</x:v>
      </x:c>
      <x:c r="N82" s="98" t="str">
        <x:v>1.2 WD</x:v>
      </x:c>
      <x:c r="O82" s="98" t="str">
        <x:v>AERA-001-1.2WD-20260807.1</x:v>
      </x:c>
      <x:c r="P82" s="99" t="str">
        <x:v>Authoritative PDF Appendix A; generated from controlled source</x:v>
      </x:c>
    </x:row>
    <x:row r="83" ht="60" customHeight="1">
      <x:c r="A83" s="97" t="str">
        <x:v>AERA-DAF-105</x:v>
      </x:c>
      <x:c r="B83" s="98" t="str">
        <x:v>DAF</x:v>
      </x:c>
      <x:c r="C83" s="98" t="str">
        <x:v>The DAF SHALL represent each required assurance claim as an independently visible verdict and SHALL NOT conceal a NOT-SATISFIED or INDETERMINATE hard gate in an aggregate score.</x:v>
      </x:c>
      <x:c r="D83" s="98" t="str">
        <x:v>I, A, T</x:v>
      </x:c>
      <x:c r="E83" s="98" t="str">
        <x:v>PROPOSED</x:v>
      </x:c>
      <x:c r="F83" s="98" t="str">
        <x:v>1.1 RC1 or earlier - lineage pending</x:v>
      </x:c>
      <x:c r="G83" s="98" t="str"/>
      <x:c r="H83" s="98" t="str"/>
      <x:c r="I83" s="98" t="str"/>
      <x:c r="J83" s="98" t="str"/>
      <x:c r="K83" s="98" t="str"/>
      <x:c r="L83" s="98" t="str"/>
      <x:c r="M83" s="98" t="str">
        <x:v>UNDETERMINED - claim-specific profile matrix required</x:v>
      </x:c>
      <x:c r="N83" s="98" t="str">
        <x:v>1.2 WD</x:v>
      </x:c>
      <x:c r="O83" s="98" t="str">
        <x:v>AERA-001-1.2WD-20260807.1</x:v>
      </x:c>
      <x:c r="P83" s="99" t="str">
        <x:v>Authoritative PDF Appendix A; generated from controlled source</x:v>
      </x:c>
    </x:row>
    <x:row r="84" ht="60" customHeight="1">
      <x:c r="A84" s="97" t="str">
        <x:v>AERA-DAF-106</x:v>
      </x:c>
      <x:c r="B84" s="98" t="str">
        <x:v>DAF</x:v>
      </x:c>
      <x:c r="C84" s="98" t="str">
        <x:v>Each assurance-claim result SHALL identify the claim, verdict, acceptance criterion, supporting and contrary evidence, limitations, evaluator identity and version, assessment time, and validity interval.</x:v>
      </x:c>
      <x:c r="D84" s="98" t="str">
        <x:v>I, T</x:v>
      </x:c>
      <x:c r="E84" s="98" t="str">
        <x:v>PROPOSED</x:v>
      </x:c>
      <x:c r="F84" s="98" t="str">
        <x:v>1.1 RC1 or earlier - lineage pending</x:v>
      </x:c>
      <x:c r="G84" s="98" t="str"/>
      <x:c r="H84" s="98" t="str"/>
      <x:c r="I84" s="98" t="str"/>
      <x:c r="J84" s="98" t="str"/>
      <x:c r="K84" s="98" t="str"/>
      <x:c r="L84" s="98" t="str"/>
      <x:c r="M84" s="98" t="str">
        <x:v>UNDETERMINED - claim-specific profile matrix required</x:v>
      </x:c>
      <x:c r="N84" s="98" t="str">
        <x:v>1.2 WD</x:v>
      </x:c>
      <x:c r="O84" s="98" t="str">
        <x:v>AERA-001-1.2WD-20260807.1</x:v>
      </x:c>
      <x:c r="P84" s="99" t="str">
        <x:v>Authoritative PDF Appendix A; generated from controlled source</x:v>
      </x:c>
    </x:row>
    <x:row r="85" ht="60" customHeight="1">
      <x:c r="A85" s="97" t="str">
        <x:v>AERA-DAF-107</x:v>
      </x:c>
      <x:c r="B85" s="98" t="str">
        <x:v>DAF</x:v>
      </x:c>
      <x:c r="C85" s="98" t="str">
        <x:v>The DAF SHALL distinguish SATISFIED, NOT-SATISFIED, and INDETERMINATE verdicts and SHALL NOT interpret NOT-SATISFIED or INDETERMINATE as SATISFIED.</x:v>
      </x:c>
      <x:c r="D85" s="98" t="str">
        <x:v>I, T</x:v>
      </x:c>
      <x:c r="E85" s="98" t="str">
        <x:v>PROPOSED</x:v>
      </x:c>
      <x:c r="F85" s="98" t="str">
        <x:v>1.1 RC1 or earlier - lineage pending</x:v>
      </x:c>
      <x:c r="G85" s="98" t="str"/>
      <x:c r="H85" s="98" t="str"/>
      <x:c r="I85" s="98" t="str"/>
      <x:c r="J85" s="98" t="str"/>
      <x:c r="K85" s="98" t="str"/>
      <x:c r="L85" s="98" t="str"/>
      <x:c r="M85" s="98" t="str">
        <x:v>UNDETERMINED - claim-specific profile matrix required</x:v>
      </x:c>
      <x:c r="N85" s="98" t="str">
        <x:v>1.2 WD</x:v>
      </x:c>
      <x:c r="O85" s="98" t="str">
        <x:v>AERA-001-1.2WD-20260807.1</x:v>
      </x:c>
      <x:c r="P85" s="99" t="str">
        <x:v>Authoritative PDF Appendix A; generated from controlled source</x:v>
      </x:c>
    </x:row>
    <x:row r="86" ht="60" customHeight="1">
      <x:c r="A86" s="97" t="str">
        <x:v>AERA-DAF-108</x:v>
      </x:c>
      <x:c r="B86" s="98" t="str">
        <x:v>DAF</x:v>
      </x:c>
      <x:c r="C86" s="98" t="str">
        <x:v>For each decision type and consequence class, policy SHALL identify hard gates, compensable dimensions, prohibited trade-offs, approving authorities, and the conditions and validity limits for any permitted trade-off.</x:v>
      </x:c>
      <x:c r="D86" s="98" t="str">
        <x:v>I, A</x:v>
      </x:c>
      <x:c r="E86" s="98" t="str">
        <x:v>PROPOSED</x:v>
      </x:c>
      <x:c r="F86" s="98" t="str">
        <x:v>1.1 RC1 or earlier - lineage pending</x:v>
      </x:c>
      <x:c r="G86" s="98" t="str"/>
      <x:c r="H86" s="98" t="str"/>
      <x:c r="I86" s="98" t="str"/>
      <x:c r="J86" s="98" t="str"/>
      <x:c r="K86" s="98" t="str"/>
      <x:c r="L86" s="98" t="str"/>
      <x:c r="M86" s="98" t="str">
        <x:v>UNDETERMINED - claim-specific profile matrix required</x:v>
      </x:c>
      <x:c r="N86" s="98" t="str">
        <x:v>1.2 WD</x:v>
      </x:c>
      <x:c r="O86" s="98" t="str">
        <x:v>AERA-001-1.2WD-20260807.1</x:v>
      </x:c>
      <x:c r="P86" s="99" t="str">
        <x:v>Authoritative PDF Appendix A; generated from controlled source</x:v>
      </x:c>
    </x:row>
    <x:row r="87" ht="60" customHeight="1">
      <x:c r="A87" s="97" t="str">
        <x:v>AERA-DAF-109</x:v>
      </x:c>
      <x:c r="B87" s="98" t="str">
        <x:v>DAF</x:v>
      </x:c>
      <x:c r="C87" s="98" t="str">
        <x:v>Each permitted trade-off among assurance dimensions SHALL identify the accepted degradation or loss, compensating controls and their evidence, applicable decision types and consequence classes, accountable approving authority, validity, and reassessment triggers.</x:v>
      </x:c>
      <x:c r="D87" s="98" t="str">
        <x:v>I, A</x:v>
      </x:c>
      <x:c r="E87" s="98" t="str">
        <x:v>PROPOSED</x:v>
      </x:c>
      <x:c r="F87" s="98" t="str">
        <x:v>1.1 RC1 or earlier - lineage pending</x:v>
      </x:c>
      <x:c r="G87" s="98" t="str"/>
      <x:c r="H87" s="98" t="str"/>
      <x:c r="I87" s="98" t="str"/>
      <x:c r="J87" s="98" t="str"/>
      <x:c r="K87" s="98" t="str"/>
      <x:c r="L87" s="98" t="str"/>
      <x:c r="M87" s="98" t="str">
        <x:v>UNDETERMINED - claim-specific profile matrix required</x:v>
      </x:c>
      <x:c r="N87" s="98" t="str">
        <x:v>1.2 WD</x:v>
      </x:c>
      <x:c r="O87" s="98" t="str">
        <x:v>AERA-001-1.2WD-20260807.1</x:v>
      </x:c>
      <x:c r="P87" s="99" t="str">
        <x:v>Authoritative PDF Appendix A; generated from controlled source</x:v>
      </x:c>
    </x:row>
    <x:row r="88" ht="60" customHeight="1">
      <x:c r="A88" s="97" t="str">
        <x:v>AERA-DAF-110</x:v>
      </x:c>
      <x:c r="B88" s="98" t="str">
        <x:v>DAF</x:v>
      </x:c>
      <x:c r="C88" s="98" t="str">
        <x:v>The DAF SHALL support the dispositions PERMIT, PERMIT-WITH-CONSTRAINTS, DEFER, ESCALATE, SIMULATE, QUARANTINE, and DENY with the semantics defined in Section 24; an implementation MAY use different external labels only when it documents a one-to-one semantic mapping.</x:v>
      </x:c>
      <x:c r="D88" s="98" t="str">
        <x:v>I, T</x:v>
      </x:c>
      <x:c r="E88" s="98" t="str">
        <x:v>PROPOSED</x:v>
      </x:c>
      <x:c r="F88" s="98" t="str">
        <x:v>1.1 RC1 or earlier - lineage pending</x:v>
      </x:c>
      <x:c r="G88" s="98" t="str"/>
      <x:c r="H88" s="98" t="str"/>
      <x:c r="I88" s="98" t="str"/>
      <x:c r="J88" s="98" t="str"/>
      <x:c r="K88" s="98" t="str"/>
      <x:c r="L88" s="98" t="str"/>
      <x:c r="M88" s="98" t="str">
        <x:v>UNDETERMINED - claim-specific profile matrix required</x:v>
      </x:c>
      <x:c r="N88" s="98" t="str">
        <x:v>1.2 WD</x:v>
      </x:c>
      <x:c r="O88" s="98" t="str">
        <x:v>AERA-001-1.2WD-20260807.1</x:v>
      </x:c>
      <x:c r="P88" s="99" t="str">
        <x:v>Authoritative PDF Appendix A; generated from controlled source</x:v>
      </x:c>
    </x:row>
    <x:row r="89" ht="60" customHeight="1">
      <x:c r="A89" s="97" t="str">
        <x:v>AERA-DAF-111</x:v>
      </x:c>
      <x:c r="B89" s="98" t="str">
        <x:v>DAF</x:v>
      </x:c>
      <x:c r="C89" s="98" t="str">
        <x:v>A PERMIT-WITH-CONSTRAINTS disposition SHALL bind and enforce the narrowed proposal; it SHALL NOT authorize the original unconstrained proposal.</x:v>
      </x:c>
      <x:c r="D89" s="98" t="str">
        <x:v>I, T</x:v>
      </x:c>
      <x:c r="E89" s="98" t="str">
        <x:v>PROPOSED</x:v>
      </x:c>
      <x:c r="F89" s="98" t="str">
        <x:v>1.1 RC1 or earlier - lineage pending</x:v>
      </x:c>
      <x:c r="G89" s="98" t="str"/>
      <x:c r="H89" s="98" t="str"/>
      <x:c r="I89" s="98" t="str"/>
      <x:c r="J89" s="98" t="str"/>
      <x:c r="K89" s="98" t="str"/>
      <x:c r="L89" s="98" t="str"/>
      <x:c r="M89" s="98" t="str">
        <x:v>UNDETERMINED - claim-specific profile matrix required</x:v>
      </x:c>
      <x:c r="N89" s="98" t="str">
        <x:v>1.2 WD</x:v>
      </x:c>
      <x:c r="O89" s="98" t="str">
        <x:v>AERA-001-1.2WD-20260807.1</x:v>
      </x:c>
      <x:c r="P89" s="99" t="str">
        <x:v>Authoritative PDF Appendix A; generated from controlled source</x:v>
      </x:c>
    </x:row>
    <x:row r="90" ht="60" customHeight="1">
      <x:c r="A90" s="97" t="str">
        <x:v>AERA-DAF-112</x:v>
      </x:c>
      <x:c r="B90" s="98" t="str">
        <x:v>DAF</x:v>
      </x:c>
      <x:c r="C90" s="98" t="str">
        <x:v>DEFER, ESCALATE, SIMULATE, QUARANTINE, and DENY SHALL NOT be accepted as authorization for an operational effect.</x:v>
      </x:c>
      <x:c r="D90" s="98" t="str">
        <x:v>I, T</x:v>
      </x:c>
      <x:c r="E90" s="98" t="str">
        <x:v>PROPOSED</x:v>
      </x:c>
      <x:c r="F90" s="98" t="str">
        <x:v>1.1 RC1 or earlier - lineage pending</x:v>
      </x:c>
      <x:c r="G90" s="98" t="str"/>
      <x:c r="H90" s="98" t="str"/>
      <x:c r="I90" s="98" t="str"/>
      <x:c r="J90" s="98" t="str"/>
      <x:c r="K90" s="98" t="str"/>
      <x:c r="L90" s="98" t="str"/>
      <x:c r="M90" s="98" t="str">
        <x:v>UNDETERMINED - claim-specific profile matrix required</x:v>
      </x:c>
      <x:c r="N90" s="98" t="str">
        <x:v>1.2 WD</x:v>
      </x:c>
      <x:c r="O90" s="98" t="str">
        <x:v>AERA-001-1.2WD-20260807.1</x:v>
      </x:c>
      <x:c r="P90" s="99" t="str">
        <x:v>Authoritative PDF Appendix A; generated from controlled source</x:v>
      </x:c>
    </x:row>
    <x:row r="91" ht="60" customHeight="1">
      <x:c r="A91" s="97" t="str">
        <x:v>AERA-DAF-113</x:v>
      </x:c>
      <x:c r="B91" s="98" t="str">
        <x:v>DAF</x:v>
      </x:c>
      <x:c r="C91" s="98" t="str">
        <x:v>A permit SHALL state a bounded validity interval, bounded use count, or both.</x:v>
      </x:c>
      <x:c r="D91" s="98" t="str">
        <x:v>I, T</x:v>
      </x:c>
      <x:c r="E91" s="98" t="str">
        <x:v>PROPOSED</x:v>
      </x:c>
      <x:c r="F91" s="98" t="str">
        <x:v>1.1 RC1 or earlier - lineage pending</x:v>
      </x:c>
      <x:c r="G91" s="98" t="str"/>
      <x:c r="H91" s="98" t="str"/>
      <x:c r="I91" s="98" t="str"/>
      <x:c r="J91" s="98" t="str"/>
      <x:c r="K91" s="98" t="str"/>
      <x:c r="L91" s="98" t="str"/>
      <x:c r="M91" s="98" t="str">
        <x:v>UNDETERMINED - claim-specific profile matrix required</x:v>
      </x:c>
      <x:c r="N91" s="98" t="str">
        <x:v>1.2 WD</x:v>
      </x:c>
      <x:c r="O91" s="98" t="str">
        <x:v>AERA-001-1.2WD-20260807.1</x:v>
      </x:c>
      <x:c r="P91" s="99" t="str">
        <x:v>Authoritative PDF Appendix A; generated from controlled source</x:v>
      </x:c>
    </x:row>
    <x:row r="92" ht="60" customHeight="1">
      <x:c r="A92" s="97" t="str">
        <x:v>AERA-DAF-114</x:v>
      </x:c>
      <x:c r="B92" s="98" t="str">
        <x:v>DAF</x:v>
      </x:c>
      <x:c r="C92" s="98" t="str">
        <x:v>The DAF SHALL record all applicable non-permit reasons even when it returns one primary disposition.</x:v>
      </x:c>
      <x:c r="D92" s="98" t="str">
        <x:v>I, T</x:v>
      </x:c>
      <x:c r="E92" s="98" t="str">
        <x:v>PROPOSED</x:v>
      </x:c>
      <x:c r="F92" s="98" t="str">
        <x:v>1.1 RC1 or earlier - lineage pending</x:v>
      </x:c>
      <x:c r="G92" s="98" t="str"/>
      <x:c r="H92" s="98" t="str"/>
      <x:c r="I92" s="98" t="str"/>
      <x:c r="J92" s="98" t="str"/>
      <x:c r="K92" s="98" t="str"/>
      <x:c r="L92" s="98" t="str"/>
      <x:c r="M92" s="98" t="str">
        <x:v>UNDETERMINED - claim-specific profile matrix required</x:v>
      </x:c>
      <x:c r="N92" s="98" t="str">
        <x:v>1.2 WD</x:v>
      </x:c>
      <x:c r="O92" s="98" t="str">
        <x:v>AERA-001-1.2WD-20260807.1</x:v>
      </x:c>
      <x:c r="P92" s="99" t="str">
        <x:v>Authoritative PDF Appendix A; generated from controlled source</x:v>
      </x:c>
    </x:row>
    <x:row r="93" ht="60" customHeight="1">
      <x:c r="A93" s="97" t="str">
        <x:v>AERA-DAF-115</x:v>
      </x:c>
      <x:c r="B93" s="98" t="str">
        <x:v>DAF</x:v>
      </x:c>
      <x:c r="C93" s="98" t="str">
        <x:v>Unresolved policy conflict, ambiguous authority scope, or incomplete mandatory context SHALL NOT produce a permit.</x:v>
      </x:c>
      <x:c r="D93" s="98" t="str">
        <x:v>A, T</x:v>
      </x:c>
      <x:c r="E93" s="98" t="str">
        <x:v>PROPOSED</x:v>
      </x:c>
      <x:c r="F93" s="98" t="str">
        <x:v>1.1 RC1 or earlier - lineage pending</x:v>
      </x:c>
      <x:c r="G93" s="98" t="str"/>
      <x:c r="H93" s="98" t="str"/>
      <x:c r="I93" s="98" t="str"/>
      <x:c r="J93" s="98" t="str"/>
      <x:c r="K93" s="98" t="str"/>
      <x:c r="L93" s="98" t="str"/>
      <x:c r="M93" s="98" t="str">
        <x:v>UNDETERMINED - claim-specific profile matrix required</x:v>
      </x:c>
      <x:c r="N93" s="98" t="str">
        <x:v>1.2 WD</x:v>
      </x:c>
      <x:c r="O93" s="98" t="str">
        <x:v>AERA-001-1.2WD-20260807.1</x:v>
      </x:c>
      <x:c r="P93" s="99" t="str">
        <x:v>Authoritative PDF Appendix A; generated from controlled source</x:v>
      </x:c>
    </x:row>
    <x:row r="94" ht="60" customHeight="1">
      <x:c r="A94" s="97" t="str">
        <x:v>AERA-DAF-116</x:v>
      </x:c>
      <x:c r="B94" s="98" t="str">
        <x:v>DAF</x:v>
      </x:c>
      <x:c r="C94" s="98" t="str">
        <x:v>State transitions SHALL be attributable, ordered, integrity-protected, and associated with stated time quality.</x:v>
      </x:c>
      <x:c r="D94" s="98" t="str">
        <x:v>I, T</x:v>
      </x:c>
      <x:c r="E94" s="98" t="str">
        <x:v>PROPOSED</x:v>
      </x:c>
      <x:c r="F94" s="98" t="str">
        <x:v>1.1 RC1 or earlier - lineage pending</x:v>
      </x:c>
      <x:c r="G94" s="98" t="str"/>
      <x:c r="H94" s="98" t="str"/>
      <x:c r="I94" s="98" t="str"/>
      <x:c r="J94" s="98" t="str"/>
      <x:c r="K94" s="98" t="str"/>
      <x:c r="L94" s="98" t="str"/>
      <x:c r="M94" s="98" t="str">
        <x:v>UNDETERMINED - claim-specific profile matrix required</x:v>
      </x:c>
      <x:c r="N94" s="98" t="str">
        <x:v>1.2 WD</x:v>
      </x:c>
      <x:c r="O94" s="98" t="str">
        <x:v>AERA-001-1.2WD-20260807.1</x:v>
      </x:c>
      <x:c r="P94" s="99" t="str">
        <x:v>Authoritative PDF Appendix A; generated from controlled source</x:v>
      </x:c>
    </x:row>
    <x:row r="95" ht="60" customHeight="1">
      <x:c r="A95" s="97" t="str">
        <x:v>AERA-DAF-117</x:v>
      </x:c>
      <x:c r="B95" s="98" t="str">
        <x:v>DAF</x:v>
      </x:c>
      <x:c r="C95" s="98" t="str">
        <x:v>Re-evaluation after deferment, escalation, or simulation SHALL preserve the prior snapshot and create a new evaluation snapshot.</x:v>
      </x:c>
      <x:c r="D95" s="98" t="str">
        <x:v>I, T</x:v>
      </x:c>
      <x:c r="E95" s="98" t="str">
        <x:v>PROPOSED</x:v>
      </x:c>
      <x:c r="F95" s="98" t="str">
        <x:v>1.1 RC1 or earlier - lineage pending</x:v>
      </x:c>
      <x:c r="G95" s="98" t="str"/>
      <x:c r="H95" s="98" t="str"/>
      <x:c r="I95" s="98" t="str"/>
      <x:c r="J95" s="98" t="str"/>
      <x:c r="K95" s="98" t="str"/>
      <x:c r="L95" s="98" t="str"/>
      <x:c r="M95" s="98" t="str">
        <x:v>UNDETERMINED - claim-specific profile matrix required</x:v>
      </x:c>
      <x:c r="N95" s="98" t="str">
        <x:v>1.2 WD</x:v>
      </x:c>
      <x:c r="O95" s="98" t="str">
        <x:v>AERA-001-1.2WD-20260807.1</x:v>
      </x:c>
      <x:c r="P95" s="99" t="str">
        <x:v>Authoritative PDF Appendix A; generated from controlled source</x:v>
      </x:c>
    </x:row>
    <x:row r="96" ht="60" customHeight="1">
      <x:c r="A96" s="97" t="str">
        <x:v>AERA-DAF-118</x:v>
      </x:c>
      <x:c r="B96" s="98" t="str">
        <x:v>DAF</x:v>
      </x:c>
      <x:c r="C96" s="98" t="str">
        <x:v>A decision transaction SHALL NOT enter verified closure until the enforcement receipt and required effect observations have been reconciled with the decision contract, or residual-risk closure has been explicitly approved.</x:v>
      </x:c>
      <x:c r="D96" s="98" t="str">
        <x:v>I, T, D</x:v>
      </x:c>
      <x:c r="E96" s="98" t="str">
        <x:v>PROPOSED</x:v>
      </x:c>
      <x:c r="F96" s="98" t="str">
        <x:v>1.1 RC1 or earlier - lineage pending</x:v>
      </x:c>
      <x:c r="G96" s="98" t="str"/>
      <x:c r="H96" s="98" t="str"/>
      <x:c r="I96" s="98" t="str"/>
      <x:c r="J96" s="98" t="str"/>
      <x:c r="K96" s="98" t="str"/>
      <x:c r="L96" s="98" t="str"/>
      <x:c r="M96" s="98" t="str">
        <x:v>UNDETERMINED - claim-specific profile matrix required</x:v>
      </x:c>
      <x:c r="N96" s="98" t="str">
        <x:v>1.2 WD</x:v>
      </x:c>
      <x:c r="O96" s="98" t="str">
        <x:v>AERA-001-1.2WD-20260807.1</x:v>
      </x:c>
      <x:c r="P96" s="99" t="str">
        <x:v>Authoritative PDF Appendix A; generated from controlled source</x:v>
      </x:c>
    </x:row>
    <x:row r="97" ht="60" customHeight="1">
      <x:c r="A97" s="97" t="str">
        <x:v>AERA-ENF-101</x:v>
      </x:c>
      <x:c r="B97" s="98" t="str">
        <x:v>ENF</x:v>
      </x:c>
      <x:c r="C97" s="98" t="str">
        <x:v>Each material effect SHALL be mediated by an enforcement point that is independently controllable from the proposer to the degree required by consequence.</x:v>
      </x:c>
      <x:c r="D97" s="98" t="str">
        <x:v>I, A, T</x:v>
      </x:c>
      <x:c r="E97" s="98" t="str">
        <x:v>PROPOSED</x:v>
      </x:c>
      <x:c r="F97" s="98" t="str">
        <x:v>1.1 RC1 or earlier - lineage pending</x:v>
      </x:c>
      <x:c r="G97" s="98" t="str"/>
      <x:c r="H97" s="98" t="str"/>
      <x:c r="I97" s="98" t="str"/>
      <x:c r="J97" s="98" t="str"/>
      <x:c r="K97" s="98" t="str"/>
      <x:c r="L97" s="98" t="str"/>
      <x:c r="M97" s="98" t="str">
        <x:v>UNDETERMINED - claim-specific profile matrix required</x:v>
      </x:c>
      <x:c r="N97" s="98" t="str">
        <x:v>1.2 WD</x:v>
      </x:c>
      <x:c r="O97" s="98" t="str">
        <x:v>AERA-001-1.2WD-20260807.1</x:v>
      </x:c>
      <x:c r="P97" s="99" t="str">
        <x:v>Authoritative PDF Appendix A; generated from controlled source</x:v>
      </x:c>
    </x:row>
    <x:row r="98" ht="60" customHeight="1">
      <x:c r="A98" s="97" t="str">
        <x:v>AERA-ENF-102</x:v>
      </x:c>
      <x:c r="B98" s="98" t="str">
        <x:v>ENF</x:v>
      </x:c>
      <x:c r="C98" s="98" t="str">
        <x:v>The enforcement point SHALL validate the authorization artifact, actor, target, canonical proposal digest, constraints, validity, use limit, and revocation state before execution.</x:v>
      </x:c>
      <x:c r="D98" s="98" t="str">
        <x:v>I, T</x:v>
      </x:c>
      <x:c r="E98" s="98" t="str">
        <x:v>PROPOSED</x:v>
      </x:c>
      <x:c r="F98" s="98" t="str">
        <x:v>1.1 RC1 or earlier - lineage pending</x:v>
      </x:c>
      <x:c r="G98" s="98" t="str"/>
      <x:c r="H98" s="98" t="str"/>
      <x:c r="I98" s="98" t="str"/>
      <x:c r="J98" s="98" t="str"/>
      <x:c r="K98" s="98" t="str"/>
      <x:c r="L98" s="98" t="str"/>
      <x:c r="M98" s="98" t="str">
        <x:v>UNDETERMINED - claim-specific profile matrix required</x:v>
      </x:c>
      <x:c r="N98" s="98" t="str">
        <x:v>1.2 WD</x:v>
      </x:c>
      <x:c r="O98" s="98" t="str">
        <x:v>AERA-001-1.2WD-20260807.1</x:v>
      </x:c>
      <x:c r="P98" s="99" t="str">
        <x:v>Authoritative PDF Appendix A; generated from controlled source</x:v>
      </x:c>
    </x:row>
    <x:row r="99" ht="60" customHeight="1">
      <x:c r="A99" s="97" t="str">
        <x:v>AERA-ENF-103</x:v>
      </x:c>
      <x:c r="B99" s="98" t="str">
        <x:v>ENF</x:v>
      </x:c>
      <x:c r="C99" s="98" t="str">
        <x:v>The enforcement point SHALL reject proposal substitution, target substitution, actor substitution, replay, expired authorization, exhausted use, and use outside the named enforcement boundary.</x:v>
      </x:c>
      <x:c r="D99" s="98" t="str">
        <x:v>T</x:v>
      </x:c>
      <x:c r="E99" s="98" t="str">
        <x:v>PROPOSED</x:v>
      </x:c>
      <x:c r="F99" s="98" t="str">
        <x:v>1.1 RC1 or earlier - lineage pending</x:v>
      </x:c>
      <x:c r="G99" s="98" t="str"/>
      <x:c r="H99" s="98" t="str"/>
      <x:c r="I99" s="98" t="str"/>
      <x:c r="J99" s="98" t="str"/>
      <x:c r="K99" s="98" t="str"/>
      <x:c r="L99" s="98" t="str"/>
      <x:c r="M99" s="98" t="str">
        <x:v>UNDETERMINED - claim-specific profile matrix required</x:v>
      </x:c>
      <x:c r="N99" s="98" t="str">
        <x:v>1.2 WD</x:v>
      </x:c>
      <x:c r="O99" s="98" t="str">
        <x:v>AERA-001-1.2WD-20260807.1</x:v>
      </x:c>
      <x:c r="P99" s="99" t="str">
        <x:v>Authoritative PDF Appendix A; generated from controlled source</x:v>
      </x:c>
    </x:row>
    <x:row r="100" ht="60" customHeight="1">
      <x:c r="A100" s="97" t="str">
        <x:v>AERA-ENF-104</x:v>
      </x:c>
      <x:c r="B100" s="98" t="str">
        <x:v>ENF</x:v>
      </x:c>
      <x:c r="C100" s="98" t="str">
        <x:v>Revocation after dispatch SHALL invoke the defined stop, containment, or recovery behavior and SHALL preserve evidence of any effect already initiated.</x:v>
      </x:c>
      <x:c r="D100" s="98" t="str">
        <x:v>I, T, D</x:v>
      </x:c>
      <x:c r="E100" s="98" t="str">
        <x:v>PROPOSED</x:v>
      </x:c>
      <x:c r="F100" s="98" t="str">
        <x:v>1.1 RC1 or earlier - lineage pending</x:v>
      </x:c>
      <x:c r="G100" s="98" t="str"/>
      <x:c r="H100" s="98" t="str"/>
      <x:c r="I100" s="98" t="str"/>
      <x:c r="J100" s="98" t="str"/>
      <x:c r="K100" s="98" t="str"/>
      <x:c r="L100" s="98" t="str"/>
      <x:c r="M100" s="98" t="str">
        <x:v>UNDETERMINED - claim-specific profile matrix required</x:v>
      </x:c>
      <x:c r="N100" s="98" t="str">
        <x:v>1.2 WD</x:v>
      </x:c>
      <x:c r="O100" s="98" t="str">
        <x:v>AERA-001-1.2WD-20260807.1</x:v>
      </x:c>
      <x:c r="P100" s="99" t="str">
        <x:v>Authoritative PDF Appendix A; generated from controlled source</x:v>
      </x:c>
    </x:row>
    <x:row r="101" ht="60" customHeight="1">
      <x:c r="A101" s="97" t="str">
        <x:v>AERA-ENF-105</x:v>
      </x:c>
      <x:c r="B101" s="98" t="str">
        <x:v>ENF</x:v>
      </x:c>
      <x:c r="C101" s="98" t="str">
        <x:v>The enforcement path SHALL produce an integrity-protected receipt stating validation, accepted proposal, actual execution parameters, timing, result, and exceptions.</x:v>
      </x:c>
      <x:c r="D101" s="98" t="str">
        <x:v>I, T</x:v>
      </x:c>
      <x:c r="E101" s="98" t="str">
        <x:v>PROPOSED</x:v>
      </x:c>
      <x:c r="F101" s="98" t="str">
        <x:v>1.1 RC1 or earlier - lineage pending</x:v>
      </x:c>
      <x:c r="G101" s="98" t="str"/>
      <x:c r="H101" s="98" t="str"/>
      <x:c r="I101" s="98" t="str"/>
      <x:c r="J101" s="98" t="str"/>
      <x:c r="K101" s="98" t="str"/>
      <x:c r="L101" s="98" t="str"/>
      <x:c r="M101" s="98" t="str">
        <x:v>UNDETERMINED - claim-specific profile matrix required</x:v>
      </x:c>
      <x:c r="N101" s="98" t="str">
        <x:v>1.2 WD</x:v>
      </x:c>
      <x:c r="O101" s="98" t="str">
        <x:v>AERA-001-1.2WD-20260807.1</x:v>
      </x:c>
      <x:c r="P101" s="99" t="str">
        <x:v>Authoritative PDF Appendix A; generated from controlled source</x:v>
      </x:c>
    </x:row>
    <x:row r="102" ht="60" customHeight="1">
      <x:c r="A102" s="97" t="str">
        <x:v>AERA-ENF-106</x:v>
      </x:c>
      <x:c r="B102" s="98" t="str">
        <x:v>ENF</x:v>
      </x:c>
      <x:c r="C102" s="98" t="str">
        <x:v>Required effect observation SHALL be independent of the proposer for CC-3 and CC-4 decisions unless the assurance case documents why independence is infeasible and identifies compensating controls.</x:v>
      </x:c>
      <x:c r="D102" s="98" t="str">
        <x:v>I, A, T</x:v>
      </x:c>
      <x:c r="E102" s="98" t="str">
        <x:v>PROPOSED</x:v>
      </x:c>
      <x:c r="F102" s="98" t="str">
        <x:v>1.1 RC1 or earlier - lineage pending</x:v>
      </x:c>
      <x:c r="G102" s="98" t="str"/>
      <x:c r="H102" s="98" t="str"/>
      <x:c r="I102" s="98" t="str"/>
      <x:c r="J102" s="98" t="str"/>
      <x:c r="K102" s="98" t="str"/>
      <x:c r="L102" s="98" t="str"/>
      <x:c r="M102" s="98" t="str">
        <x:v>UNDETERMINED - claim-specific profile matrix required</x:v>
      </x:c>
      <x:c r="N102" s="98" t="str">
        <x:v>1.2 WD</x:v>
      </x:c>
      <x:c r="O102" s="98" t="str">
        <x:v>AERA-001-1.2WD-20260807.1</x:v>
      </x:c>
      <x:c r="P102" s="99" t="str">
        <x:v>Authoritative PDF Appendix A; generated from controlled source</x:v>
      </x:c>
    </x:row>
    <x:row r="103" ht="60" customHeight="1">
      <x:c r="A103" s="97" t="str">
        <x:v>AERA-ENF-107</x:v>
      </x:c>
      <x:c r="B103" s="98" t="str">
        <x:v>ENF</x:v>
      </x:c>
      <x:c r="C103" s="98" t="str">
        <x:v>The audit record SHALL reconstruct the causal chain from intent and delegation through proposal, evidence, vector, policy, disposition, enforcement, observed effect, override, exception, and recovery.</x:v>
      </x:c>
      <x:c r="D103" s="98" t="str">
        <x:v>I, T, D</x:v>
      </x:c>
      <x:c r="E103" s="98" t="str">
        <x:v>PROPOSED</x:v>
      </x:c>
      <x:c r="F103" s="98" t="str">
        <x:v>1.1 RC1 or earlier - lineage pending</x:v>
      </x:c>
      <x:c r="G103" s="98" t="str"/>
      <x:c r="H103" s="98" t="str"/>
      <x:c r="I103" s="98" t="str"/>
      <x:c r="J103" s="98" t="str"/>
      <x:c r="K103" s="98" t="str"/>
      <x:c r="L103" s="98" t="str"/>
      <x:c r="M103" s="98" t="str">
        <x:v>UNDETERMINED - claim-specific profile matrix required</x:v>
      </x:c>
      <x:c r="N103" s="98" t="str">
        <x:v>1.2 WD</x:v>
      </x:c>
      <x:c r="O103" s="98" t="str">
        <x:v>AERA-001-1.2WD-20260807.1</x:v>
      </x:c>
      <x:c r="P103" s="99" t="str">
        <x:v>Authoritative PDF Appendix A; generated from controlled source</x:v>
      </x:c>
    </x:row>
    <x:row r="104" ht="60" customHeight="1">
      <x:c r="A104" s="97" t="str">
        <x:v>AERA-EVID-001</x:v>
      </x:c>
      <x:c r="B104" s="98" t="str">
        <x:v>EVID</x:v>
      </x:c>
      <x:c r="C104" s="98" t="str">
        <x:v>Decision evidence SHALL carry or resolve to source identity, provenance, observed/effective time, acquisition/transformation history, integrity, freshness, uncertainty/quality, relevant configuration/calibration, and restrictions.</x:v>
      </x:c>
      <x:c r="D104" s="98" t="str">
        <x:v>I, T</x:v>
      </x:c>
      <x:c r="E104" s="98" t="str">
        <x:v>PROPOSED</x:v>
      </x:c>
      <x:c r="F104" s="98" t="str">
        <x:v>1.1 RC1 or earlier - lineage pending</x:v>
      </x:c>
      <x:c r="G104" s="98" t="str"/>
      <x:c r="H104" s="98" t="str"/>
      <x:c r="I104" s="98" t="str"/>
      <x:c r="J104" s="98" t="str"/>
      <x:c r="K104" s="98" t="str"/>
      <x:c r="L104" s="98" t="str"/>
      <x:c r="M104" s="98" t="str">
        <x:v>UNDETERMINED - claim-specific profile matrix required</x:v>
      </x:c>
      <x:c r="N104" s="98" t="str">
        <x:v>1.2 WD</x:v>
      </x:c>
      <x:c r="O104" s="98" t="str">
        <x:v>AERA-001-1.2WD-20260807.1</x:v>
      </x:c>
      <x:c r="P104" s="99" t="str">
        <x:v>Authoritative PDF Appendix A; generated from controlled source</x:v>
      </x:c>
    </x:row>
    <x:row r="105" ht="60" customHeight="1">
      <x:c r="A105" s="97" t="str">
        <x:v>AERA-EVID-002</x:v>
      </x:c>
      <x:c r="B105" s="98" t="str">
        <x:v>EVID</x:v>
      </x:c>
      <x:c r="C105" s="98" t="str">
        <x:v>High-consequence disposition SHALL use evidence or enforcement sufficiently independent of the proposer; independence SHALL address shared source, time, network, software, administration, and supply-chain dependencies.</x:v>
      </x:c>
      <x:c r="D105" s="98" t="str">
        <x:v>A, T</x:v>
      </x:c>
      <x:c r="E105" s="98" t="str">
        <x:v>PROPOSED</x:v>
      </x:c>
      <x:c r="F105" s="98" t="str">
        <x:v>1.1 RC1 or earlier - lineage pending</x:v>
      </x:c>
      <x:c r="G105" s="98" t="str"/>
      <x:c r="H105" s="98" t="str"/>
      <x:c r="I105" s="98" t="str"/>
      <x:c r="J105" s="98" t="str"/>
      <x:c r="K105" s="98" t="str"/>
      <x:c r="L105" s="98" t="str"/>
      <x:c r="M105" s="98" t="str">
        <x:v>UNDETERMINED - claim-specific profile matrix required</x:v>
      </x:c>
      <x:c r="N105" s="98" t="str">
        <x:v>1.2 WD</x:v>
      </x:c>
      <x:c r="O105" s="98" t="str">
        <x:v>AERA-001-1.2WD-20260807.1</x:v>
      </x:c>
      <x:c r="P105" s="99" t="str">
        <x:v>Authoritative PDF Appendix A; generated from controlled source</x:v>
      </x:c>
    </x:row>
    <x:row r="106" ht="60" customHeight="1">
      <x:c r="A106" s="97" t="str">
        <x:v>AERA-EVID-003</x:v>
      </x:c>
      <x:c r="B106" s="98" t="str">
        <x:v>EVID</x:v>
      </x:c>
      <x:c r="C106" s="98" t="str">
        <x:v>Material contradictions SHALL be retained, surfaced to policy, and resolved or dispositioned; fusion SHALL NOT suppress contradiction to create unsupported confidence.</x:v>
      </x:c>
      <x:c r="D106" s="98" t="str">
        <x:v>I, T</x:v>
      </x:c>
      <x:c r="E106" s="98" t="str">
        <x:v>PROPOSED</x:v>
      </x:c>
      <x:c r="F106" s="98" t="str">
        <x:v>1.1 RC1 or earlier - lineage pending</x:v>
      </x:c>
      <x:c r="G106" s="98" t="str"/>
      <x:c r="H106" s="98" t="str"/>
      <x:c r="I106" s="98" t="str"/>
      <x:c r="J106" s="98" t="str"/>
      <x:c r="K106" s="98" t="str"/>
      <x:c r="L106" s="98" t="str"/>
      <x:c r="M106" s="98" t="str">
        <x:v>UNDETERMINED - claim-specific profile matrix required</x:v>
      </x:c>
      <x:c r="N106" s="98" t="str">
        <x:v>1.2 WD</x:v>
      </x:c>
      <x:c r="O106" s="98" t="str">
        <x:v>AERA-001-1.2WD-20260807.1</x:v>
      </x:c>
      <x:c r="P106" s="99" t="str">
        <x:v>Authoritative PDF Appendix A; generated from controlled source</x:v>
      </x:c>
    </x:row>
    <x:row r="107" ht="60" customHeight="1">
      <x:c r="A107" s="97" t="str">
        <x:v>AERA-EVID-004</x:v>
      </x:c>
      <x:c r="B107" s="98" t="str">
        <x:v>EVID</x:v>
      </x:c>
      <x:c r="C107" s="98" t="str">
        <x:v>Transformed evidence SHALL preserve source-level traceability and declare transformations that prevent independent re-evaluation.</x:v>
      </x:c>
      <x:c r="D107" s="98" t="str">
        <x:v>I, T</x:v>
      </x:c>
      <x:c r="E107" s="98" t="str">
        <x:v>PROPOSED</x:v>
      </x:c>
      <x:c r="F107" s="98" t="str">
        <x:v>1.1 RC1 or earlier - lineage pending</x:v>
      </x:c>
      <x:c r="G107" s="98" t="str"/>
      <x:c r="H107" s="98" t="str"/>
      <x:c r="I107" s="98" t="str"/>
      <x:c r="J107" s="98" t="str"/>
      <x:c r="K107" s="98" t="str"/>
      <x:c r="L107" s="98" t="str"/>
      <x:c r="M107" s="98" t="str">
        <x:v>UNDETERMINED - claim-specific profile matrix required</x:v>
      </x:c>
      <x:c r="N107" s="98" t="str">
        <x:v>1.2 WD</x:v>
      </x:c>
      <x:c r="O107" s="98" t="str">
        <x:v>AERA-001-1.2WD-20260807.1</x:v>
      </x:c>
      <x:c r="P107" s="99" t="str">
        <x:v>Authoritative PDF Appendix A; generated from controlled source</x:v>
      </x:c>
    </x:row>
    <x:row r="108" ht="60" customHeight="1">
      <x:c r="A108" s="97" t="str">
        <x:v>AERA-EVID-011</x:v>
      </x:c>
      <x:c r="B108" s="98" t="str">
        <x:v>EVID</x:v>
      </x:c>
      <x:c r="C108" s="98" t="str">
        <x:v>Data used to train, adapt, evaluate, or operate a consequence-material autonomous capability SHALL have documented provenance, quality, representativeness, limitations, permissible use, and change control.</x:v>
      </x:c>
      <x:c r="D108" s="98" t="str">
        <x:v>I, A, T</x:v>
      </x:c>
      <x:c r="E108" s="98" t="str">
        <x:v>PROPOSED</x:v>
      </x:c>
      <x:c r="F108" s="98" t="str">
        <x:v>1.1 RC1 or earlier - lineage pending</x:v>
      </x:c>
      <x:c r="G108" s="98" t="str"/>
      <x:c r="H108" s="98" t="str"/>
      <x:c r="I108" s="98" t="str"/>
      <x:c r="J108" s="98" t="str"/>
      <x:c r="K108" s="98" t="str"/>
      <x:c r="L108" s="98" t="str"/>
      <x:c r="M108" s="98" t="str">
        <x:v>UNDETERMINED - claim-specific profile matrix required</x:v>
      </x:c>
      <x:c r="N108" s="98" t="str">
        <x:v>1.2 WD</x:v>
      </x:c>
      <x:c r="O108" s="98" t="str">
        <x:v>AERA-001-1.2WD-20260807.1</x:v>
      </x:c>
      <x:c r="P108" s="99" t="str">
        <x:v>Authoritative PDF Appendix A; generated from controlled source</x:v>
      </x:c>
    </x:row>
    <x:row r="109" ht="60" customHeight="1">
      <x:c r="A109" s="97" t="str">
        <x:v>AERA-EVID-101</x:v>
      </x:c>
      <x:c r="B109" s="98" t="str">
        <x:v>EVID</x:v>
      </x:c>
      <x:c r="C109" s="98" t="str">
        <x:v>Decision evidence SHALL identify the supported claim, source, provenance, transformations, integrity state, uncertainty, observation time, valid interval, and limitations.</x:v>
      </x:c>
      <x:c r="D109" s="98" t="str">
        <x:v>I, T</x:v>
      </x:c>
      <x:c r="E109" s="98" t="str">
        <x:v>PROPOSED</x:v>
      </x:c>
      <x:c r="F109" s="98" t="str">
        <x:v>1.1 RC1 or earlier - lineage pending</x:v>
      </x:c>
      <x:c r="G109" s="98" t="str"/>
      <x:c r="H109" s="98" t="str"/>
      <x:c r="I109" s="98" t="str"/>
      <x:c r="J109" s="98" t="str"/>
      <x:c r="K109" s="98" t="str"/>
      <x:c r="L109" s="98" t="str"/>
      <x:c r="M109" s="98" t="str">
        <x:v>UNDETERMINED - claim-specific profile matrix required</x:v>
      </x:c>
      <x:c r="N109" s="98" t="str">
        <x:v>1.2 WD</x:v>
      </x:c>
      <x:c r="O109" s="98" t="str">
        <x:v>AERA-001-1.2WD-20260807.1</x:v>
      </x:c>
      <x:c r="P109" s="99" t="str">
        <x:v>Authoritative PDF Appendix A; generated from controlled source</x:v>
      </x:c>
    </x:row>
    <x:row r="110" ht="60" customHeight="1">
      <x:c r="A110" s="97" t="str">
        <x:v>AERA-EVID-102</x:v>
      </x:c>
      <x:c r="B110" s="98" t="str">
        <x:v>EVID</x:v>
      </x:c>
      <x:c r="C110" s="98" t="str">
        <x:v>The DAF SHALL evaluate evidence freshness and time/PNT quality against the requirements of the specific decision contract.</x:v>
      </x:c>
      <x:c r="D110" s="98" t="str">
        <x:v>I, A, T</x:v>
      </x:c>
      <x:c r="E110" s="98" t="str">
        <x:v>PROPOSED</x:v>
      </x:c>
      <x:c r="F110" s="98" t="str">
        <x:v>1.1 RC1 or earlier - lineage pending</x:v>
      </x:c>
      <x:c r="G110" s="98" t="str"/>
      <x:c r="H110" s="98" t="str"/>
      <x:c r="I110" s="98" t="str"/>
      <x:c r="J110" s="98" t="str"/>
      <x:c r="K110" s="98" t="str"/>
      <x:c r="L110" s="98" t="str"/>
      <x:c r="M110" s="98" t="str">
        <x:v>UNDETERMINED - claim-specific profile matrix required</x:v>
      </x:c>
      <x:c r="N110" s="98" t="str">
        <x:v>1.2 WD</x:v>
      </x:c>
      <x:c r="O110" s="98" t="str">
        <x:v>AERA-001-1.2WD-20260807.1</x:v>
      </x:c>
      <x:c r="P110" s="99" t="str">
        <x:v>Authoritative PDF Appendix A; generated from controlled source</x:v>
      </x:c>
    </x:row>
    <x:row r="111" ht="60" customHeight="1">
      <x:c r="A111" s="97" t="str">
        <x:v>AERA-EVID-103</x:v>
      </x:c>
      <x:c r="B111" s="98" t="str">
        <x:v>EVID</x:v>
      </x:c>
      <x:c r="C111" s="98" t="str">
        <x:v>Evidence status SHALL distinguish source capability present, source monitored, evidence accepted, and evidence used in the computed assurance verdict.</x:v>
      </x:c>
      <x:c r="D111" s="98" t="str">
        <x:v>I, T</x:v>
      </x:c>
      <x:c r="E111" s="98" t="str">
        <x:v>PROPOSED</x:v>
      </x:c>
      <x:c r="F111" s="98" t="str">
        <x:v>1.1 RC1 or earlier - lineage pending</x:v>
      </x:c>
      <x:c r="G111" s="98" t="str"/>
      <x:c r="H111" s="98" t="str"/>
      <x:c r="I111" s="98" t="str"/>
      <x:c r="J111" s="98" t="str"/>
      <x:c r="K111" s="98" t="str"/>
      <x:c r="L111" s="98" t="str"/>
      <x:c r="M111" s="98" t="str">
        <x:v>UNDETERMINED - claim-specific profile matrix required</x:v>
      </x:c>
      <x:c r="N111" s="98" t="str">
        <x:v>1.2 WD</x:v>
      </x:c>
      <x:c r="O111" s="98" t="str">
        <x:v>AERA-001-1.2WD-20260807.1</x:v>
      </x:c>
      <x:c r="P111" s="99" t="str">
        <x:v>Authoritative PDF Appendix A; generated from controlled source</x:v>
      </x:c>
    </x:row>
    <x:row r="112" ht="60" customHeight="1">
      <x:c r="A112" s="97" t="str">
        <x:v>AERA-EVID-104</x:v>
      </x:c>
      <x:c r="B112" s="98" t="str">
        <x:v>EVID</x:v>
      </x:c>
      <x:c r="C112" s="98" t="str">
        <x:v>Required source independence SHALL be defined against the relevant common-mode and administrative-control failure model; source count alone SHALL NOT establish independence.</x:v>
      </x:c>
      <x:c r="D112" s="98" t="str">
        <x:v>I, A, T</x:v>
      </x:c>
      <x:c r="E112" s="98" t="str">
        <x:v>PROPOSED</x:v>
      </x:c>
      <x:c r="F112" s="98" t="str">
        <x:v>1.1 RC1 or earlier - lineage pending</x:v>
      </x:c>
      <x:c r="G112" s="98" t="str"/>
      <x:c r="H112" s="98" t="str"/>
      <x:c r="I112" s="98" t="str"/>
      <x:c r="J112" s="98" t="str"/>
      <x:c r="K112" s="98" t="str"/>
      <x:c r="L112" s="98" t="str"/>
      <x:c r="M112" s="98" t="str">
        <x:v>UNDETERMINED - claim-specific profile matrix required</x:v>
      </x:c>
      <x:c r="N112" s="98" t="str">
        <x:v>1.2 WD</x:v>
      </x:c>
      <x:c r="O112" s="98" t="str">
        <x:v>AERA-001-1.2WD-20260807.1</x:v>
      </x:c>
      <x:c r="P112" s="99" t="str">
        <x:v>Authoritative PDF Appendix A; generated from controlled source</x:v>
      </x:c>
    </x:row>
    <x:row r="113" ht="60" customHeight="1">
      <x:c r="A113" s="97" t="str">
        <x:v>AERA-EVID-105</x:v>
      </x:c>
      <x:c r="B113" s="98" t="str">
        <x:v>EVID</x:v>
      </x:c>
      <x:c r="C113" s="98" t="str">
        <x:v>Contradictory, withdrawn, corrected, stale, or compromised evidence SHALL trigger the policy-defined re-evaluation, constraint, deferment, escalation, quarantine, denial, or recovery behavior.</x:v>
      </x:c>
      <x:c r="D113" s="98" t="str">
        <x:v>I, T</x:v>
      </x:c>
      <x:c r="E113" s="98" t="str">
        <x:v>PROPOSED</x:v>
      </x:c>
      <x:c r="F113" s="98" t="str">
        <x:v>1.1 RC1 or earlier - lineage pending</x:v>
      </x:c>
      <x:c r="G113" s="98" t="str"/>
      <x:c r="H113" s="98" t="str"/>
      <x:c r="I113" s="98" t="str"/>
      <x:c r="J113" s="98" t="str"/>
      <x:c r="K113" s="98" t="str"/>
      <x:c r="L113" s="98" t="str"/>
      <x:c r="M113" s="98" t="str">
        <x:v>UNDETERMINED - claim-specific profile matrix required</x:v>
      </x:c>
      <x:c r="N113" s="98" t="str">
        <x:v>1.2 WD</x:v>
      </x:c>
      <x:c r="O113" s="98" t="str">
        <x:v>AERA-001-1.2WD-20260807.1</x:v>
      </x:c>
      <x:c r="P113" s="99" t="str">
        <x:v>Authoritative PDF Appendix A; generated from controlled source</x:v>
      </x:c>
    </x:row>
    <x:row r="114" ht="60" customHeight="1">
      <x:c r="A114" s="97" t="str">
        <x:v>AERA-EVID-106</x:v>
      </x:c>
      <x:c r="B114" s="98" t="str">
        <x:v>EVID</x:v>
      </x:c>
      <x:c r="C114" s="98" t="str">
        <x:v>Each material decision class SHALL define stop conditions, degraded behavior, and a validated recovery envelope, and the DAF SHALL evaluate current recovery readiness before permit.</x:v>
      </x:c>
      <x:c r="D114" s="98" t="str">
        <x:v>I, A, T, D</x:v>
      </x:c>
      <x:c r="E114" s="98" t="str">
        <x:v>PROPOSED</x:v>
      </x:c>
      <x:c r="F114" s="98" t="str">
        <x:v>1.1 RC1 or earlier - lineage pending</x:v>
      </x:c>
      <x:c r="G114" s="98" t="str"/>
      <x:c r="H114" s="98" t="str"/>
      <x:c r="I114" s="98" t="str"/>
      <x:c r="J114" s="98" t="str"/>
      <x:c r="K114" s="98" t="str"/>
      <x:c r="L114" s="98" t="str"/>
      <x:c r="M114" s="98" t="str">
        <x:v>UNDETERMINED - claim-specific profile matrix required</x:v>
      </x:c>
      <x:c r="N114" s="98" t="str">
        <x:v>1.2 WD</x:v>
      </x:c>
      <x:c r="O114" s="98" t="str">
        <x:v>AERA-001-1.2WD-20260807.1</x:v>
      </x:c>
      <x:c r="P114" s="99" t="str">
        <x:v>Authoritative PDF Appendix A; generated from controlled source</x:v>
      </x:c>
    </x:row>
    <x:row r="115" ht="60" customHeight="1">
      <x:c r="A115" s="97" t="str">
        <x:v>AERA-EVID-112</x:v>
      </x:c>
      <x:c r="B115" s="98" t="str">
        <x:v>EVID</x:v>
      </x:c>
      <x:c r="C115" s="98" t="str">
        <x:v>A decision-relevant state claim SHALL identify its typed state model and SHALL NOT treat ACCEPTED_BY_SERVICE, USED_IN_SOURCE_SOLUTION, USED_IN_AUTHORIZATION, and VALIDATED_EFFECTIVE as equivalent states.</x:v>
      </x:c>
      <x:c r="D115" s="98" t="str">
        <x:v>I, A, T</x:v>
      </x:c>
      <x:c r="E115" s="98" t="str">
        <x:v>PROPOSED</x:v>
      </x:c>
      <x:c r="F115" s="98" t="str">
        <x:v>1.2 WD</x:v>
      </x:c>
      <x:c r="G115" s="98" t="str"/>
      <x:c r="H115" s="98" t="str"/>
      <x:c r="I115" s="98" t="str"/>
      <x:c r="J115" s="98" t="str"/>
      <x:c r="K115" s="98" t="str"/>
      <x:c r="L115" s="98" t="str"/>
      <x:c r="M115" s="98" t="str">
        <x:v>UNDETERMINED - claim-specific profile matrix required</x:v>
      </x:c>
      <x:c r="N115" s="98" t="str">
        <x:v>1.2 WD</x:v>
      </x:c>
      <x:c r="O115" s="98" t="str">
        <x:v>AERA-001-1.2WD-20260807.1</x:v>
      </x:c>
      <x:c r="P115" s="99" t="str">
        <x:v>Authoritative PDF Appendix A; generated from controlled source</x:v>
      </x:c>
    </x:row>
    <x:row r="116" ht="60" customHeight="1">
      <x:c r="A116" s="97" t="str">
        <x:v>AERA-GOV-001</x:v>
      </x:c>
      <x:c r="B116" s="98" t="str">
        <x:v>GOV</x:v>
      </x:c>
      <x:c r="C116" s="98" t="str">
        <x:v>Each autonomous decision class SHALL have a named human or governing body accountable for mission legitimacy, delegated authority, residual risk, suspension, and reassessment.</x:v>
      </x:c>
      <x:c r="D116" s="98" t="str">
        <x:v>I, D</x:v>
      </x:c>
      <x:c r="E116" s="98" t="str">
        <x:v>PROPOSED</x:v>
      </x:c>
      <x:c r="F116" s="98" t="str">
        <x:v>1.1 RC1 or earlier - lineage pending</x:v>
      </x:c>
      <x:c r="G116" s="98" t="str"/>
      <x:c r="H116" s="98" t="str"/>
      <x:c r="I116" s="98" t="str"/>
      <x:c r="J116" s="98" t="str"/>
      <x:c r="K116" s="98" t="str"/>
      <x:c r="L116" s="98" t="str"/>
      <x:c r="M116" s="98" t="str">
        <x:v>UNDETERMINED - claim-specific profile matrix required</x:v>
      </x:c>
      <x:c r="N116" s="98" t="str">
        <x:v>1.2 WD</x:v>
      </x:c>
      <x:c r="O116" s="98" t="str">
        <x:v>AERA-001-1.2WD-20260807.1</x:v>
      </x:c>
      <x:c r="P116" s="99" t="str">
        <x:v>Authoritative PDF Appendix A; generated from controlled source</x:v>
      </x:c>
    </x:row>
    <x:row r="117" ht="60" customHeight="1">
      <x:c r="A117" s="97" t="str">
        <x:v>AERA-GOV-002</x:v>
      </x:c>
      <x:c r="B117" s="98" t="str">
        <x:v>GOV</x:v>
      </x:c>
      <x:c r="C117" s="98" t="str">
        <x:v>Governance SHALL review performance, overrides, near misses, adverse effects, anomalies, deviations, recovery, and material authority/policy/threat/consequence/obligation changes at defined cadence and triggers.</x:v>
      </x:c>
      <x:c r="D117" s="98" t="str">
        <x:v>I, A</x:v>
      </x:c>
      <x:c r="E117" s="98" t="str">
        <x:v>PROPOSED</x:v>
      </x:c>
      <x:c r="F117" s="98" t="str">
        <x:v>1.1 RC1 or earlier - lineage pending</x:v>
      </x:c>
      <x:c r="G117" s="98" t="str"/>
      <x:c r="H117" s="98" t="str"/>
      <x:c r="I117" s="98" t="str"/>
      <x:c r="J117" s="98" t="str"/>
      <x:c r="K117" s="98" t="str"/>
      <x:c r="L117" s="98" t="str"/>
      <x:c r="M117" s="98" t="str">
        <x:v>UNDETERMINED - claim-specific profile matrix required</x:v>
      </x:c>
      <x:c r="N117" s="98" t="str">
        <x:v>1.2 WD</x:v>
      </x:c>
      <x:c r="O117" s="98" t="str">
        <x:v>AERA-001-1.2WD-20260807.1</x:v>
      </x:c>
      <x:c r="P117" s="99" t="str">
        <x:v>Authoritative PDF Appendix A; generated from controlled source</x:v>
      </x:c>
    </x:row>
    <x:row r="118" ht="60" customHeight="1">
      <x:c r="A118" s="97" t="str">
        <x:v>AERA-GOV-003</x:v>
      </x:c>
      <x:c r="B118" s="98" t="str">
        <x:v>GOV</x:v>
      </x:c>
      <x:c r="C118" s="98" t="str">
        <x:v>Applicable privacy, civil-rights, equity, safety, transparency, recordkeeping, redress, and data-governance obligations SHALL be identified for each decision class and translated into enforceable intent, policy, evidence, and oversight requirements.</x:v>
      </x:c>
      <x:c r="D118" s="98" t="str">
        <x:v>I, A</x:v>
      </x:c>
      <x:c r="E118" s="98" t="str">
        <x:v>PROPOSED</x:v>
      </x:c>
      <x:c r="F118" s="98" t="str">
        <x:v>1.1 RC1 or earlier - lineage pending</x:v>
      </x:c>
      <x:c r="G118" s="98" t="str"/>
      <x:c r="H118" s="98" t="str"/>
      <x:c r="I118" s="98" t="str"/>
      <x:c r="J118" s="98" t="str"/>
      <x:c r="K118" s="98" t="str"/>
      <x:c r="L118" s="98" t="str"/>
      <x:c r="M118" s="98" t="str">
        <x:v>UNDETERMINED - claim-specific profile matrix required</x:v>
      </x:c>
      <x:c r="N118" s="98" t="str">
        <x:v>1.2 WD</x:v>
      </x:c>
      <x:c r="O118" s="98" t="str">
        <x:v>AERA-001-1.2WD-20260807.1</x:v>
      </x:c>
      <x:c r="P118" s="99" t="str">
        <x:v>Authoritative PDF Appendix A; generated from controlled source</x:v>
      </x:c>
    </x:row>
    <x:row r="119" ht="60" customHeight="1">
      <x:c r="A119" s="97" t="str">
        <x:v>AERA-GOV-004</x:v>
      </x:c>
      <x:c r="B119" s="98" t="str">
        <x:v>GOV</x:v>
      </x:c>
      <x:c r="C119" s="98" t="str">
        <x:v>A consequence-material decision class affecting people SHALL define notice, contestability, human review, and redress mechanisms, or SHALL document the legal and mission basis for inapplicability.</x:v>
      </x:c>
      <x:c r="D119" s="98" t="str">
        <x:v>I, A, D</x:v>
      </x:c>
      <x:c r="E119" s="98" t="str">
        <x:v>PROPOSED</x:v>
      </x:c>
      <x:c r="F119" s="98" t="str">
        <x:v>1.1 RC1 or earlier - lineage pending</x:v>
      </x:c>
      <x:c r="G119" s="98" t="str"/>
      <x:c r="H119" s="98" t="str"/>
      <x:c r="I119" s="98" t="str"/>
      <x:c r="J119" s="98" t="str"/>
      <x:c r="K119" s="98" t="str"/>
      <x:c r="L119" s="98" t="str"/>
      <x:c r="M119" s="98" t="str">
        <x:v>UNDETERMINED - claim-specific profile matrix required</x:v>
      </x:c>
      <x:c r="N119" s="98" t="str">
        <x:v>1.2 WD</x:v>
      </x:c>
      <x:c r="O119" s="98" t="str">
        <x:v>AERA-001-1.2WD-20260807.1</x:v>
      </x:c>
      <x:c r="P119" s="99" t="str">
        <x:v>Authoritative PDF Appendix A; generated from controlled source</x:v>
      </x:c>
    </x:row>
    <x:row r="120" ht="60" customHeight="1">
      <x:c r="A120" s="97" t="str">
        <x:v>AERA-GOVR-001</x:v>
      </x:c>
      <x:c r="B120" s="98" t="str">
        <x:v>GOVR</x:v>
      </x:c>
      <x:c r="C120" s="98" t="str">
        <x:v>Every normative change SHALL identify impact on definitions, requirements, interfaces, schemas, threats, crosswalks and conformance.</x:v>
      </x:c>
      <x:c r="D120" s="98" t="str">
        <x:v>I, A, T and/or D as consequence requires</x:v>
      </x:c>
      <x:c r="E120" s="98" t="str">
        <x:v>PROPOSED</x:v>
      </x:c>
      <x:c r="F120" s="98" t="str">
        <x:v>1.1 RC1 or earlier - lineage pending</x:v>
      </x:c>
      <x:c r="G120" s="98" t="str"/>
      <x:c r="H120" s="98" t="str"/>
      <x:c r="I120" s="98" t="str"/>
      <x:c r="J120" s="98" t="str"/>
      <x:c r="K120" s="98" t="str"/>
      <x:c r="L120" s="98" t="str"/>
      <x:c r="M120" s="98" t="str">
        <x:v>UNDETERMINED - claim-specific profile matrix required</x:v>
      </x:c>
      <x:c r="N120" s="98" t="str">
        <x:v>1.2 WD</x:v>
      </x:c>
      <x:c r="O120" s="98" t="str">
        <x:v>AERA-001-1.2WD-20260807.1</x:v>
      </x:c>
      <x:c r="P120" s="99" t="str">
        <x:v>Authoritative PDF Appendix A; generated from controlled source</x:v>
      </x:c>
    </x:row>
    <x:row r="121" ht="60" customHeight="1">
      <x:c r="A121" s="97" t="str">
        <x:v>AERA-GOVR-002</x:v>
      </x:c>
      <x:c r="B121" s="98" t="str">
        <x:v>GOVR</x:v>
      </x:c>
      <x:c r="C121" s="98" t="str">
        <x:v>Sector profiles SHALL preserve or strengthen the AERA core control floor.</x:v>
      </x:c>
      <x:c r="D121" s="98" t="str">
        <x:v>I, A, T and/or D as consequence requires</x:v>
      </x:c>
      <x:c r="E121" s="98" t="str">
        <x:v>PROPOSED</x:v>
      </x:c>
      <x:c r="F121" s="98" t="str">
        <x:v>1.1 RC1 or earlier - lineage pending</x:v>
      </x:c>
      <x:c r="G121" s="98" t="str"/>
      <x:c r="H121" s="98" t="str"/>
      <x:c r="I121" s="98" t="str"/>
      <x:c r="J121" s="98" t="str"/>
      <x:c r="K121" s="98" t="str"/>
      <x:c r="L121" s="98" t="str"/>
      <x:c r="M121" s="98" t="str">
        <x:v>UNDETERMINED - claim-specific profile matrix required</x:v>
      </x:c>
      <x:c r="N121" s="98" t="str">
        <x:v>1.2 WD</x:v>
      </x:c>
      <x:c r="O121" s="98" t="str">
        <x:v>AERA-001-1.2WD-20260807.1</x:v>
      </x:c>
      <x:c r="P121" s="99" t="str">
        <x:v>Authoritative PDF Appendix A; generated from controlled source</x:v>
      </x:c>
    </x:row>
    <x:row r="122" ht="60" customHeight="1">
      <x:c r="A122" s="97" t="str">
        <x:v>AERA-GOVR-003</x:v>
      </x:c>
      <x:c r="B122" s="98" t="str">
        <x:v>GOVR</x:v>
      </x:c>
      <x:c r="C122" s="98" t="str">
        <x:v>A conformance claim SHALL remain bound to the AERA edition assessed.</x:v>
      </x:c>
      <x:c r="D122" s="98" t="str">
        <x:v>I, A, T and/or D as consequence requires</x:v>
      </x:c>
      <x:c r="E122" s="98" t="str">
        <x:v>PROPOSED</x:v>
      </x:c>
      <x:c r="F122" s="98" t="str">
        <x:v>1.1 RC1 or earlier - lineage pending</x:v>
      </x:c>
      <x:c r="G122" s="98" t="str"/>
      <x:c r="H122" s="98" t="str"/>
      <x:c r="I122" s="98" t="str"/>
      <x:c r="J122" s="98" t="str"/>
      <x:c r="K122" s="98" t="str"/>
      <x:c r="L122" s="98" t="str"/>
      <x:c r="M122" s="98" t="str">
        <x:v>UNDETERMINED - claim-specific profile matrix required</x:v>
      </x:c>
      <x:c r="N122" s="98" t="str">
        <x:v>1.2 WD</x:v>
      </x:c>
      <x:c r="O122" s="98" t="str">
        <x:v>AERA-001-1.2WD-20260807.1</x:v>
      </x:c>
      <x:c r="P122" s="99" t="str">
        <x:v>Authoritative PDF Appendix A; generated from controlled source</x:v>
      </x:c>
    </x:row>
    <x:row r="123" ht="60" customHeight="1">
      <x:c r="A123" s="97" t="str">
        <x:v>AERA-GOVR-004</x:v>
      </x:c>
      <x:c r="B123" s="98" t="str">
        <x:v>GOVR</x:v>
      </x:c>
      <x:c r="C123" s="98" t="str">
        <x:v>External mappings SHALL be versioned, directional and reviewed on source or AERA revision.</x:v>
      </x:c>
      <x:c r="D123" s="98" t="str">
        <x:v>I, A, T and/or D as consequence requires</x:v>
      </x:c>
      <x:c r="E123" s="98" t="str">
        <x:v>PROPOSED</x:v>
      </x:c>
      <x:c r="F123" s="98" t="str">
        <x:v>1.1 RC1 or earlier - lineage pending</x:v>
      </x:c>
      <x:c r="G123" s="98" t="str"/>
      <x:c r="H123" s="98" t="str"/>
      <x:c r="I123" s="98" t="str"/>
      <x:c r="J123" s="98" t="str"/>
      <x:c r="K123" s="98" t="str"/>
      <x:c r="L123" s="98" t="str"/>
      <x:c r="M123" s="98" t="str">
        <x:v>UNDETERMINED - claim-specific profile matrix required</x:v>
      </x:c>
      <x:c r="N123" s="98" t="str">
        <x:v>1.2 WD</x:v>
      </x:c>
      <x:c r="O123" s="98" t="str">
        <x:v>AERA-001-1.2WD-20260807.1</x:v>
      </x:c>
      <x:c r="P123" s="99" t="str">
        <x:v>Authoritative PDF Appendix A; generated from controlled source</x:v>
      </x:c>
    </x:row>
    <x:row r="124" ht="60" customHeight="1">
      <x:c r="A124" s="97" t="str">
        <x:v>AERA-GOVR-005</x:v>
      </x:c>
      <x:c r="B124" s="98" t="str">
        <x:v>GOVR</x:v>
      </x:c>
      <x:c r="C124" s="98" t="str">
        <x:v>An urgent advisory SHALL identify scope, evidence, required action and expiration or incorporation path.</x:v>
      </x:c>
      <x:c r="D124" s="98" t="str">
        <x:v>I, A, T and/or D as consequence requires</x:v>
      </x:c>
      <x:c r="E124" s="98" t="str">
        <x:v>PROPOSED</x:v>
      </x:c>
      <x:c r="F124" s="98" t="str">
        <x:v>1.1 RC1 or earlier - lineage pending</x:v>
      </x:c>
      <x:c r="G124" s="98" t="str"/>
      <x:c r="H124" s="98" t="str"/>
      <x:c r="I124" s="98" t="str"/>
      <x:c r="J124" s="98" t="str"/>
      <x:c r="K124" s="98" t="str"/>
      <x:c r="L124" s="98" t="str"/>
      <x:c r="M124" s="98" t="str">
        <x:v>UNDETERMINED - claim-specific profile matrix required</x:v>
      </x:c>
      <x:c r="N124" s="98" t="str">
        <x:v>1.2 WD</x:v>
      </x:c>
      <x:c r="O124" s="98" t="str">
        <x:v>AERA-001-1.2WD-20260807.1</x:v>
      </x:c>
      <x:c r="P124" s="99" t="str">
        <x:v>Authoritative PDF Appendix A; generated from controlled source</x:v>
      </x:c>
    </x:row>
    <x:row r="125" ht="60" customHeight="1">
      <x:c r="A125" s="97" t="str">
        <x:v>AERA-GOVR-006</x:v>
      </x:c>
      <x:c r="B125" s="98" t="str">
        <x:v>GOVR</x:v>
      </x:c>
      <x:c r="C125" s="98" t="str">
        <x:v>The controlled publication process SHALL maintain a public, versioned change record that links each material comment or proposal to its disposition, rationale, affected artifacts, and effective edition.</x:v>
      </x:c>
      <x:c r="D125" s="98" t="str">
        <x:v>I, A</x:v>
      </x:c>
      <x:c r="E125" s="98" t="str">
        <x:v>PROPOSED</x:v>
      </x:c>
      <x:c r="F125" s="98" t="str">
        <x:v>1.2 WD</x:v>
      </x:c>
      <x:c r="G125" s="98" t="str"/>
      <x:c r="H125" s="98" t="str"/>
      <x:c r="I125" s="98" t="str"/>
      <x:c r="J125" s="98" t="str"/>
      <x:c r="K125" s="98" t="str"/>
      <x:c r="L125" s="98" t="str"/>
      <x:c r="M125" s="98" t="str">
        <x:v>UNDETERMINED - claim-specific profile matrix required</x:v>
      </x:c>
      <x:c r="N125" s="98" t="str">
        <x:v>1.2 WD</x:v>
      </x:c>
      <x:c r="O125" s="98" t="str">
        <x:v>AERA-001-1.2WD-20260807.1</x:v>
      </x:c>
      <x:c r="P125" s="99" t="str">
        <x:v>Authoritative PDF Appendix A; generated from controlled source</x:v>
      </x:c>
    </x:row>
    <x:row r="126" ht="60" customHeight="1">
      <x:c r="A126" s="97" t="str">
        <x:v>AERA-GOVR-007</x:v>
      </x:c>
      <x:c r="B126" s="98" t="str">
        <x:v>GOVR</x:v>
      </x:c>
      <x:c r="C126" s="98" t="str">
        <x:v>The publication process SHALL identify editor, contributor, reviewer, pilot, and assessor roles and SHALL disclose relevant competence, organizational affiliation, sponsorship, and conflicts of interest.</x:v>
      </x:c>
      <x:c r="D126" s="98" t="str">
        <x:v>I</x:v>
      </x:c>
      <x:c r="E126" s="98" t="str">
        <x:v>PROPOSED</x:v>
      </x:c>
      <x:c r="F126" s="98" t="str">
        <x:v>1.2 WD</x:v>
      </x:c>
      <x:c r="G126" s="98" t="str"/>
      <x:c r="H126" s="98" t="str"/>
      <x:c r="I126" s="98" t="str"/>
      <x:c r="J126" s="98" t="str"/>
      <x:c r="K126" s="98" t="str"/>
      <x:c r="L126" s="98" t="str"/>
      <x:c r="M126" s="98" t="str">
        <x:v>UNDETERMINED - claim-specific profile matrix required</x:v>
      </x:c>
      <x:c r="N126" s="98" t="str">
        <x:v>1.2 WD</x:v>
      </x:c>
      <x:c r="O126" s="98" t="str">
        <x:v>AERA-001-1.2WD-20260807.1</x:v>
      </x:c>
      <x:c r="P126" s="99" t="str">
        <x:v>Authoritative PDF Appendix A; generated from controlled source</x:v>
      </x:c>
    </x:row>
    <x:row r="127" ht="60" customHeight="1">
      <x:c r="A127" s="97" t="str">
        <x:v>AERA-GOVR-008</x:v>
      </x:c>
      <x:c r="B127" s="98" t="str">
        <x:v>GOVR</x:v>
      </x:c>
      <x:c r="C127" s="98" t="str">
        <x:v>A proposed normative revision SHALL receive a defined multistakeholder review period, preserve substantive dissent, and publish disposition before it is represented as a consensus release.</x:v>
      </x:c>
      <x:c r="D127" s="98" t="str">
        <x:v>I, A</x:v>
      </x:c>
      <x:c r="E127" s="98" t="str">
        <x:v>PROPOSED</x:v>
      </x:c>
      <x:c r="F127" s="98" t="str">
        <x:v>1.2 WD</x:v>
      </x:c>
      <x:c r="G127" s="98" t="str"/>
      <x:c r="H127" s="98" t="str"/>
      <x:c r="I127" s="98" t="str"/>
      <x:c r="J127" s="98" t="str"/>
      <x:c r="K127" s="98" t="str"/>
      <x:c r="L127" s="98" t="str"/>
      <x:c r="M127" s="98" t="str">
        <x:v>UNDETERMINED - claim-specific profile matrix required</x:v>
      </x:c>
      <x:c r="N127" s="98" t="str">
        <x:v>1.2 WD</x:v>
      </x:c>
      <x:c r="O127" s="98" t="str">
        <x:v>AERA-001-1.2WD-20260807.1</x:v>
      </x:c>
      <x:c r="P127" s="99" t="str">
        <x:v>Authoritative PDF Appendix A; generated from controlled source</x:v>
      </x:c>
    </x:row>
    <x:row r="128" ht="60" customHeight="1">
      <x:c r="A128" s="97" t="str">
        <x:v>AERA-GOVR-009</x:v>
      </x:c>
      <x:c r="B128" s="98" t="str">
        <x:v>GOVR</x:v>
      </x:c>
      <x:c r="C128" s="98" t="str">
        <x:v>Human-readable and machine-readable normative artifacts SHALL be generated from or reconciled to one authoritative controlled source, carry the same edition identifier, and pass semantic and integrity checks before release.</x:v>
      </x:c>
      <x:c r="D128" s="98" t="str">
        <x:v>I, A, T</x:v>
      </x:c>
      <x:c r="E128" s="98" t="str">
        <x:v>PROPOSED</x:v>
      </x:c>
      <x:c r="F128" s="98" t="str">
        <x:v>1.2 WD</x:v>
      </x:c>
      <x:c r="G128" s="98" t="str"/>
      <x:c r="H128" s="98" t="str"/>
      <x:c r="I128" s="98" t="str"/>
      <x:c r="J128" s="98" t="str"/>
      <x:c r="K128" s="98" t="str"/>
      <x:c r="L128" s="98" t="str"/>
      <x:c r="M128" s="98" t="str">
        <x:v>UNDETERMINED - claim-specific profile matrix required</x:v>
      </x:c>
      <x:c r="N128" s="98" t="str">
        <x:v>1.2 WD</x:v>
      </x:c>
      <x:c r="O128" s="98" t="str">
        <x:v>AERA-001-1.2WD-20260807.1</x:v>
      </x:c>
      <x:c r="P128" s="99" t="str">
        <x:v>Authoritative PDF Appendix A; generated from controlled source</x:v>
      </x:c>
    </x:row>
    <x:row r="129" ht="60" customHeight="1">
      <x:c r="A129" s="97" t="str">
        <x:v>AERA-GOVR-010</x:v>
      </x:c>
      <x:c r="B129" s="98" t="str">
        <x:v>GOVR</x:v>
      </x:c>
      <x:c r="C129" s="98" t="str">
        <x:v>A maturity, conformance, interoperability, or effectiveness claim SHALL state the assessed population, assessor independence, evidence period, known limitations, and whether multi-organization or inter-rater validation has been completed.</x:v>
      </x:c>
      <x:c r="D129" s="98" t="str">
        <x:v>I, A</x:v>
      </x:c>
      <x:c r="E129" s="98" t="str">
        <x:v>PROPOSED</x:v>
      </x:c>
      <x:c r="F129" s="98" t="str">
        <x:v>1.2 WD</x:v>
      </x:c>
      <x:c r="G129" s="98" t="str"/>
      <x:c r="H129" s="98" t="str"/>
      <x:c r="I129" s="98" t="str"/>
      <x:c r="J129" s="98" t="str"/>
      <x:c r="K129" s="98" t="str"/>
      <x:c r="L129" s="98" t="str"/>
      <x:c r="M129" s="98" t="str">
        <x:v>UNDETERMINED - claim-specific profile matrix required</x:v>
      </x:c>
      <x:c r="N129" s="98" t="str">
        <x:v>1.2 WD</x:v>
      </x:c>
      <x:c r="O129" s="98" t="str">
        <x:v>AERA-001-1.2WD-20260807.1</x:v>
      </x:c>
      <x:c r="P129" s="99" t="str">
        <x:v>Authoritative PDF Appendix A; generated from controlled source</x:v>
      </x:c>
    </x:row>
    <x:row r="130" ht="60" customHeight="1">
      <x:c r="A130" s="97" t="str">
        <x:v>AERA-GOVR-011</x:v>
      </x:c>
      <x:c r="B130" s="98" t="str">
        <x:v>GOVR</x:v>
      </x:c>
      <x:c r="C130" s="98" t="str">
        <x:v>Each public edition SHALL state its copyright, license, contribution terms, permitted uses, and intellectual-property process before external redistribution or standards submission.</x:v>
      </x:c>
      <x:c r="D130" s="98" t="str">
        <x:v>I</x:v>
      </x:c>
      <x:c r="E130" s="98" t="str">
        <x:v>PROPOSED</x:v>
      </x:c>
      <x:c r="F130" s="98" t="str">
        <x:v>1.2 WD</x:v>
      </x:c>
      <x:c r="G130" s="98" t="str"/>
      <x:c r="H130" s="98" t="str"/>
      <x:c r="I130" s="98" t="str"/>
      <x:c r="J130" s="98" t="str"/>
      <x:c r="K130" s="98" t="str"/>
      <x:c r="L130" s="98" t="str"/>
      <x:c r="M130" s="98" t="str">
        <x:v>UNDETERMINED - claim-specific profile matrix required</x:v>
      </x:c>
      <x:c r="N130" s="98" t="str">
        <x:v>1.2 WD</x:v>
      </x:c>
      <x:c r="O130" s="98" t="str">
        <x:v>AERA-001-1.2WD-20260807.1</x:v>
      </x:c>
      <x:c r="P130" s="99" t="str">
        <x:v>Authoritative PDF Appendix A; generated from controlled source</x:v>
      </x:c>
    </x:row>
    <x:row r="131" ht="60" customHeight="1">
      <x:c r="A131" s="97" t="str">
        <x:v>AERA-GOVR-012</x:v>
      </x:c>
      <x:c r="B131" s="98" t="str">
        <x:v>GOVR</x:v>
      </x:c>
      <x:c r="C131" s="98" t="str">
        <x:v>A released artifact SHALL be immutable; any byte-changing replacement SHALL receive a new build identifier and manifest, and any normative change SHALL receive a new specification version.</x:v>
      </x:c>
      <x:c r="D131" s="98" t="str">
        <x:v>I, T</x:v>
      </x:c>
      <x:c r="E131" s="98" t="str">
        <x:v>PROPOSED</x:v>
      </x:c>
      <x:c r="F131" s="98" t="str">
        <x:v>1.2 WD</x:v>
      </x:c>
      <x:c r="G131" s="98" t="str"/>
      <x:c r="H131" s="98" t="str"/>
      <x:c r="I131" s="98" t="str"/>
      <x:c r="J131" s="98" t="str"/>
      <x:c r="K131" s="98" t="str"/>
      <x:c r="L131" s="98" t="str"/>
      <x:c r="M131" s="98" t="str">
        <x:v>UNDETERMINED - claim-specific profile matrix required</x:v>
      </x:c>
      <x:c r="N131" s="98" t="str">
        <x:v>1.2 WD</x:v>
      </x:c>
      <x:c r="O131" s="98" t="str">
        <x:v>AERA-001-1.2WD-20260807.1</x:v>
      </x:c>
      <x:c r="P131" s="99" t="str">
        <x:v>Authoritative PDF Appendix A; generated from controlled source</x:v>
      </x:c>
    </x:row>
    <x:row r="132" ht="60" customHeight="1">
      <x:c r="A132" s="97" t="str">
        <x:v>AERA-HUM-101</x:v>
      </x:c>
      <x:c r="B132" s="98" t="str">
        <x:v>HUM</x:v>
      </x:c>
      <x:c r="C132" s="98" t="str">
        <x:v>Every decision class SHALL designate an accountable human authority and the applicable human-control mode.</x:v>
      </x:c>
      <x:c r="D132" s="98" t="str">
        <x:v>I, A, T and/or D as consequence requires</x:v>
      </x:c>
      <x:c r="E132" s="98" t="str">
        <x:v>PROPOSED</x:v>
      </x:c>
      <x:c r="F132" s="98" t="str">
        <x:v>1.1 RC1 or earlier - lineage pending</x:v>
      </x:c>
      <x:c r="G132" s="98" t="str"/>
      <x:c r="H132" s="98" t="str"/>
      <x:c r="I132" s="98" t="str"/>
      <x:c r="J132" s="98" t="str"/>
      <x:c r="K132" s="98" t="str"/>
      <x:c r="L132" s="98" t="str"/>
      <x:c r="M132" s="98" t="str">
        <x:v>UNDETERMINED - claim-specific profile matrix required</x:v>
      </x:c>
      <x:c r="N132" s="98" t="str">
        <x:v>1.2 WD</x:v>
      </x:c>
      <x:c r="O132" s="98" t="str">
        <x:v>AERA-001-1.2WD-20260807.1</x:v>
      </x:c>
      <x:c r="P132" s="99" t="str">
        <x:v>Authoritative PDF Appendix A; generated from controlled source</x:v>
      </x:c>
    </x:row>
    <x:row r="133" ht="60" customHeight="1">
      <x:c r="A133" s="97" t="str">
        <x:v>AERA-HUM-102</x:v>
      </x:c>
      <x:c r="B133" s="98" t="str">
        <x:v>HUM</x:v>
      </x:c>
      <x:c r="C133" s="98" t="str">
        <x:v>CC-3 and CC-4 operation SHALL use positive oversight unless a governance-approved preauthorized envelope is validated for the decision tempo.</x:v>
      </x:c>
      <x:c r="D133" s="98" t="str">
        <x:v>I, A, T and/or D as consequence requires</x:v>
      </x:c>
      <x:c r="E133" s="98" t="str">
        <x:v>PROPOSED</x:v>
      </x:c>
      <x:c r="F133" s="98" t="str">
        <x:v>1.1 RC1 or earlier - lineage pending</x:v>
      </x:c>
      <x:c r="G133" s="98" t="str"/>
      <x:c r="H133" s="98" t="str"/>
      <x:c r="I133" s="98" t="str"/>
      <x:c r="J133" s="98" t="str"/>
      <x:c r="K133" s="98" t="str"/>
      <x:c r="L133" s="98" t="str"/>
      <x:c r="M133" s="98" t="str">
        <x:v>UNDETERMINED - claim-specific profile matrix required</x:v>
      </x:c>
      <x:c r="N133" s="98" t="str">
        <x:v>1.2 WD</x:v>
      </x:c>
      <x:c r="O133" s="98" t="str">
        <x:v>AERA-001-1.2WD-20260807.1</x:v>
      </x:c>
      <x:c r="P133" s="99" t="str">
        <x:v>Authoritative PDF Appendix A; generated from controlled source</x:v>
      </x:c>
    </x:row>
    <x:row r="134" ht="60" customHeight="1">
      <x:c r="A134" s="97" t="str">
        <x:v>AERA-HUM-103</x:v>
      </x:c>
      <x:c r="B134" s="98" t="str">
        <x:v>HUM</x:v>
      </x:c>
      <x:c r="C134" s="98" t="str">
        <x:v>A human approval interface SHALL present decisive evidence, uncertainty, alternatives, expected effects and recovery options.</x:v>
      </x:c>
      <x:c r="D134" s="98" t="str">
        <x:v>I, A, T and/or D as consequence requires</x:v>
      </x:c>
      <x:c r="E134" s="98" t="str">
        <x:v>PROPOSED</x:v>
      </x:c>
      <x:c r="F134" s="98" t="str">
        <x:v>1.1 RC1 or earlier - lineage pending</x:v>
      </x:c>
      <x:c r="G134" s="98" t="str"/>
      <x:c r="H134" s="98" t="str"/>
      <x:c r="I134" s="98" t="str"/>
      <x:c r="J134" s="98" t="str"/>
      <x:c r="K134" s="98" t="str"/>
      <x:c r="L134" s="98" t="str"/>
      <x:c r="M134" s="98" t="str">
        <x:v>UNDETERMINED - claim-specific profile matrix required</x:v>
      </x:c>
      <x:c r="N134" s="98" t="str">
        <x:v>1.2 WD</x:v>
      </x:c>
      <x:c r="O134" s="98" t="str">
        <x:v>AERA-001-1.2WD-20260807.1</x:v>
      </x:c>
      <x:c r="P134" s="99" t="str">
        <x:v>Authoritative PDF Appendix A; generated from controlled source</x:v>
      </x:c>
    </x:row>
    <x:row r="135" ht="60" customHeight="1">
      <x:c r="A135" s="97" t="str">
        <x:v>AERA-HUM-104</x:v>
      </x:c>
      <x:c r="B135" s="98" t="str">
        <x:v>HUM</x:v>
      </x:c>
      <x:c r="C135" s="98" t="str">
        <x:v>Emergency authority SHALL remain purpose-limited, time-bounded, attributable and unable to waive constraints outside the issuer authority.</x:v>
      </x:c>
      <x:c r="D135" s="98" t="str">
        <x:v>I, A, T and/or D as consequence requires</x:v>
      </x:c>
      <x:c r="E135" s="98" t="str">
        <x:v>PROPOSED</x:v>
      </x:c>
      <x:c r="F135" s="98" t="str">
        <x:v>1.1 RC1 or earlier - lineage pending</x:v>
      </x:c>
      <x:c r="G135" s="98" t="str"/>
      <x:c r="H135" s="98" t="str"/>
      <x:c r="I135" s="98" t="str"/>
      <x:c r="J135" s="98" t="str"/>
      <x:c r="K135" s="98" t="str"/>
      <x:c r="L135" s="98" t="str"/>
      <x:c r="M135" s="98" t="str">
        <x:v>UNDETERMINED - claim-specific profile matrix required</x:v>
      </x:c>
      <x:c r="N135" s="98" t="str">
        <x:v>1.2 WD</x:v>
      </x:c>
      <x:c r="O135" s="98" t="str">
        <x:v>AERA-001-1.2WD-20260807.1</x:v>
      </x:c>
      <x:c r="P135" s="99" t="str">
        <x:v>Authoritative PDF Appendix A; generated from controlled source</x:v>
      </x:c>
    </x:row>
    <x:row r="136" ht="60" customHeight="1">
      <x:c r="A136" s="97" t="str">
        <x:v>AERA-HUM-105</x:v>
      </x:c>
      <x:c r="B136" s="98" t="str">
        <x:v>HUM</x:v>
      </x:c>
      <x:c r="C136" s="98" t="str">
        <x:v>For a CC-4 decision, the accountable authority SHALL approve the decision-class envelope and every material change; each operational transaction SHALL require transaction-specific concurrence unless a tested preauthorized envelope defines exact bounds, independent deterministic interlocks, continuous observation, revocation, and expiry.</x:v>
      </x:c>
      <x:c r="D136" s="98" t="str">
        <x:v>I, A, T, D</x:v>
      </x:c>
      <x:c r="E136" s="98" t="str">
        <x:v>PROPOSED</x:v>
      </x:c>
      <x:c r="F136" s="98" t="str">
        <x:v>1.2 WD</x:v>
      </x:c>
      <x:c r="G136" s="98" t="str"/>
      <x:c r="H136" s="98" t="str"/>
      <x:c r="I136" s="98" t="str"/>
      <x:c r="J136" s="98" t="str"/>
      <x:c r="K136" s="98" t="str"/>
      <x:c r="L136" s="98" t="str"/>
      <x:c r="M136" s="98" t="str">
        <x:v>UNDETERMINED - claim-specific profile matrix required</x:v>
      </x:c>
      <x:c r="N136" s="98" t="str">
        <x:v>1.2 WD</x:v>
      </x:c>
      <x:c r="O136" s="98" t="str">
        <x:v>AERA-001-1.2WD-20260807.1</x:v>
      </x:c>
      <x:c r="P136" s="99" t="str">
        <x:v>Authoritative PDF Appendix A; generated from controlled source</x:v>
      </x:c>
    </x:row>
    <x:row r="137" ht="60" customHeight="1">
      <x:c r="A137" s="97" t="str">
        <x:v>AERA-IF-001</x:v>
      </x:c>
      <x:c r="B137" s="98" t="str">
        <x:v>IF</x:v>
      </x:c>
      <x:c r="C137" s="98" t="str">
        <x:v>Decision-relevant interfaces SHALL identify object schema and version, producer identity, integrity state and temporal validity.</x:v>
      </x:c>
      <x:c r="D137" s="98" t="str">
        <x:v>I, A, T and/or D as consequence requires</x:v>
      </x:c>
      <x:c r="E137" s="98" t="str">
        <x:v>PROPOSED</x:v>
      </x:c>
      <x:c r="F137" s="98" t="str">
        <x:v>1.1 RC1 or earlier - lineage pending</x:v>
      </x:c>
      <x:c r="G137" s="98" t="str"/>
      <x:c r="H137" s="98" t="str"/>
      <x:c r="I137" s="98" t="str"/>
      <x:c r="J137" s="98" t="str"/>
      <x:c r="K137" s="98" t="str"/>
      <x:c r="L137" s="98" t="str"/>
      <x:c r="M137" s="98" t="str">
        <x:v>UNDETERMINED - claim-specific profile matrix required</x:v>
      </x:c>
      <x:c r="N137" s="98" t="str">
        <x:v>1.2 WD</x:v>
      </x:c>
      <x:c r="O137" s="98" t="str">
        <x:v>AERA-001-1.2WD-20260807.1</x:v>
      </x:c>
      <x:c r="P137" s="99" t="str">
        <x:v>Authoritative PDF Appendix A; generated from controlled source</x:v>
      </x:c>
    </x:row>
    <x:row r="138" ht="60" customHeight="1">
      <x:c r="A138" s="97" t="str">
        <x:v>AERA-IF-002</x:v>
      </x:c>
      <x:c r="B138" s="98" t="str">
        <x:v>IF</x:v>
      </x:c>
      <x:c r="C138" s="98" t="str">
        <x:v>A material change to a bound object SHALL create a new version and trigger policy-defined reassessment.</x:v>
      </x:c>
      <x:c r="D138" s="98" t="str">
        <x:v>I, A, T and/or D as consequence requires</x:v>
      </x:c>
      <x:c r="E138" s="98" t="str">
        <x:v>PROPOSED</x:v>
      </x:c>
      <x:c r="F138" s="98" t="str">
        <x:v>1.1 RC1 or earlier - lineage pending</x:v>
      </x:c>
      <x:c r="G138" s="98" t="str"/>
      <x:c r="H138" s="98" t="str"/>
      <x:c r="I138" s="98" t="str"/>
      <x:c r="J138" s="98" t="str"/>
      <x:c r="K138" s="98" t="str"/>
      <x:c r="L138" s="98" t="str"/>
      <x:c r="M138" s="98" t="str">
        <x:v>UNDETERMINED - claim-specific profile matrix required</x:v>
      </x:c>
      <x:c r="N138" s="98" t="str">
        <x:v>1.2 WD</x:v>
      </x:c>
      <x:c r="O138" s="98" t="str">
        <x:v>AERA-001-1.2WD-20260807.1</x:v>
      </x:c>
      <x:c r="P138" s="99" t="str">
        <x:v>Authoritative PDF Appendix A; generated from controlled source</x:v>
      </x:c>
    </x:row>
    <x:row r="139" ht="60" customHeight="1">
      <x:c r="A139" s="97" t="str">
        <x:v>AERA-IF-003</x:v>
      </x:c>
      <x:c r="B139" s="98" t="str">
        <x:v>IF</x:v>
      </x:c>
      <x:c r="C139" s="98" t="str">
        <x:v>A consumer SHALL record whether an object was rejected, accepted, and used in the computed decision.</x:v>
      </x:c>
      <x:c r="D139" s="98" t="str">
        <x:v>I, A, T and/or D as consequence requires</x:v>
      </x:c>
      <x:c r="E139" s="98" t="str">
        <x:v>PROPOSED</x:v>
      </x:c>
      <x:c r="F139" s="98" t="str">
        <x:v>1.1 RC1 or earlier - lineage pending</x:v>
      </x:c>
      <x:c r="G139" s="98" t="str"/>
      <x:c r="H139" s="98" t="str"/>
      <x:c r="I139" s="98" t="str"/>
      <x:c r="J139" s="98" t="str"/>
      <x:c r="K139" s="98" t="str"/>
      <x:c r="L139" s="98" t="str"/>
      <x:c r="M139" s="98" t="str">
        <x:v>UNDETERMINED - claim-specific profile matrix required</x:v>
      </x:c>
      <x:c r="N139" s="98" t="str">
        <x:v>1.2 WD</x:v>
      </x:c>
      <x:c r="O139" s="98" t="str">
        <x:v>AERA-001-1.2WD-20260807.1</x:v>
      </x:c>
      <x:c r="P139" s="99" t="str">
        <x:v>Authoritative PDF Appendix A; generated from controlled source</x:v>
      </x:c>
    </x:row>
    <x:row r="140" ht="60" customHeight="1">
      <x:c r="A140" s="97" t="str">
        <x:v>AERA-IF-004</x:v>
      </x:c>
      <x:c r="B140" s="98" t="str">
        <x:v>IF</x:v>
      </x:c>
      <x:c r="C140" s="98" t="str">
        <x:v>A decision trace SHALL preserve causal links across all proposal-to-effect objects.</x:v>
      </x:c>
      <x:c r="D140" s="98" t="str">
        <x:v>I, A, T and/or D as consequence requires</x:v>
      </x:c>
      <x:c r="E140" s="98" t="str">
        <x:v>PROPOSED</x:v>
      </x:c>
      <x:c r="F140" s="98" t="str">
        <x:v>1.1 RC1 or earlier - lineage pending</x:v>
      </x:c>
      <x:c r="G140" s="98" t="str"/>
      <x:c r="H140" s="98" t="str"/>
      <x:c r="I140" s="98" t="str"/>
      <x:c r="J140" s="98" t="str"/>
      <x:c r="K140" s="98" t="str"/>
      <x:c r="L140" s="98" t="str"/>
      <x:c r="M140" s="98" t="str">
        <x:v>UNDETERMINED - claim-specific profile matrix required</x:v>
      </x:c>
      <x:c r="N140" s="98" t="str">
        <x:v>1.2 WD</x:v>
      </x:c>
      <x:c r="O140" s="98" t="str">
        <x:v>AERA-001-1.2WD-20260807.1</x:v>
      </x:c>
      <x:c r="P140" s="99" t="str">
        <x:v>Authoritative PDF Appendix A; generated from controlled source</x:v>
      </x:c>
    </x:row>
    <x:row r="141" ht="60" customHeight="1">
      <x:c r="A141" s="97" t="str">
        <x:v>AERA-IF-005</x:v>
      </x:c>
      <x:c r="B141" s="98" t="str">
        <x:v>IF</x:v>
      </x:c>
      <x:c r="C141" s="98" t="str">
        <x:v>Interface replay SHALL be rejected outside the use, sequence and temporal semantics of the bound transaction.</x:v>
      </x:c>
      <x:c r="D141" s="98" t="str">
        <x:v>I, A, T and/or D as consequence requires</x:v>
      </x:c>
      <x:c r="E141" s="98" t="str">
        <x:v>PROPOSED</x:v>
      </x:c>
      <x:c r="F141" s="98" t="str">
        <x:v>1.1 RC1 or earlier - lineage pending</x:v>
      </x:c>
      <x:c r="G141" s="98" t="str"/>
      <x:c r="H141" s="98" t="str"/>
      <x:c r="I141" s="98" t="str"/>
      <x:c r="J141" s="98" t="str"/>
      <x:c r="K141" s="98" t="str"/>
      <x:c r="L141" s="98" t="str"/>
      <x:c r="M141" s="98" t="str">
        <x:v>UNDETERMINED - claim-specific profile matrix required</x:v>
      </x:c>
      <x:c r="N141" s="98" t="str">
        <x:v>1.2 WD</x:v>
      </x:c>
      <x:c r="O141" s="98" t="str">
        <x:v>AERA-001-1.2WD-20260807.1</x:v>
      </x:c>
      <x:c r="P141" s="99" t="str">
        <x:v>Authoritative PDF Appendix A; generated from controlled source</x:v>
      </x:c>
    </x:row>
    <x:row r="142" ht="60" customHeight="1">
      <x:c r="A142" s="97" t="str">
        <x:v>AERA-IF-006</x:v>
      </x:c>
      <x:c r="B142" s="98" t="str">
        <x:v>IF</x:v>
      </x:c>
      <x:c r="C142" s="98" t="str">
        <x:v>Cross-domain disclosure constraints SHALL NOT remove the evidence necessary to validate authority and disposition.</x:v>
      </x:c>
      <x:c r="D142" s="98" t="str">
        <x:v>I, A, T and/or D as consequence requires</x:v>
      </x:c>
      <x:c r="E142" s="98" t="str">
        <x:v>PROPOSED</x:v>
      </x:c>
      <x:c r="F142" s="98" t="str">
        <x:v>1.1 RC1 or earlier - lineage pending</x:v>
      </x:c>
      <x:c r="G142" s="98" t="str"/>
      <x:c r="H142" s="98" t="str"/>
      <x:c r="I142" s="98" t="str"/>
      <x:c r="J142" s="98" t="str"/>
      <x:c r="K142" s="98" t="str"/>
      <x:c r="L142" s="98" t="str"/>
      <x:c r="M142" s="98" t="str">
        <x:v>UNDETERMINED - claim-specific profile matrix required</x:v>
      </x:c>
      <x:c r="N142" s="98" t="str">
        <x:v>1.2 WD</x:v>
      </x:c>
      <x:c r="O142" s="98" t="str">
        <x:v>AERA-001-1.2WD-20260807.1</x:v>
      </x:c>
      <x:c r="P142" s="99" t="str">
        <x:v>Authoritative PDF Appendix A; generated from controlled source</x:v>
      </x:c>
    </x:row>
    <x:row r="143" ht="60" customHeight="1">
      <x:c r="A143" s="97" t="str">
        <x:v>AERA-IF-007</x:v>
      </x:c>
      <x:c r="B143" s="98" t="str">
        <x:v>IF</x:v>
      </x:c>
      <x:c r="C143" s="98" t="str">
        <x:v>Corrections and withdrawals SHALL supersede rather than erase decision evidence.</x:v>
      </x:c>
      <x:c r="D143" s="98" t="str">
        <x:v>I, A, T and/or D as consequence requires</x:v>
      </x:c>
      <x:c r="E143" s="98" t="str">
        <x:v>PROPOSED</x:v>
      </x:c>
      <x:c r="F143" s="98" t="str">
        <x:v>1.1 RC1 or earlier - lineage pending</x:v>
      </x:c>
      <x:c r="G143" s="98" t="str"/>
      <x:c r="H143" s="98" t="str"/>
      <x:c r="I143" s="98" t="str"/>
      <x:c r="J143" s="98" t="str"/>
      <x:c r="K143" s="98" t="str"/>
      <x:c r="L143" s="98" t="str"/>
      <x:c r="M143" s="98" t="str">
        <x:v>UNDETERMINED - claim-specific profile matrix required</x:v>
      </x:c>
      <x:c r="N143" s="98" t="str">
        <x:v>1.2 WD</x:v>
      </x:c>
      <x:c r="O143" s="98" t="str">
        <x:v>AERA-001-1.2WD-20260807.1</x:v>
      </x:c>
      <x:c r="P143" s="99" t="str">
        <x:v>Authoritative PDF Appendix A; generated from controlled source</x:v>
      </x:c>
    </x:row>
    <x:row r="144" ht="60" customHeight="1">
      <x:c r="A144" s="97" t="str">
        <x:v>AERA-IF-008</x:v>
      </x:c>
      <x:c r="B144" s="98" t="str">
        <x:v>IF</x:v>
      </x:c>
      <x:c r="C144" s="98" t="str">
        <x:v>Authorization and enforcement objects SHALL use the same canonical action and target representation.</x:v>
      </x:c>
      <x:c r="D144" s="98" t="str">
        <x:v>I, A, T and/or D as consequence requires</x:v>
      </x:c>
      <x:c r="E144" s="98" t="str">
        <x:v>PROPOSED</x:v>
      </x:c>
      <x:c r="F144" s="98" t="str">
        <x:v>1.1 RC1 or earlier - lineage pending</x:v>
      </x:c>
      <x:c r="G144" s="98" t="str"/>
      <x:c r="H144" s="98" t="str"/>
      <x:c r="I144" s="98" t="str"/>
      <x:c r="J144" s="98" t="str"/>
      <x:c r="K144" s="98" t="str"/>
      <x:c r="L144" s="98" t="str"/>
      <x:c r="M144" s="98" t="str">
        <x:v>UNDETERMINED - claim-specific profile matrix required</x:v>
      </x:c>
      <x:c r="N144" s="98" t="str">
        <x:v>1.2 WD</x:v>
      </x:c>
      <x:c r="O144" s="98" t="str">
        <x:v>AERA-001-1.2WD-20260807.1</x:v>
      </x:c>
      <x:c r="P144" s="99" t="str">
        <x:v>Authoritative PDF Appendix A; generated from controlled source</x:v>
      </x:c>
    </x:row>
    <x:row r="145" ht="60" customHeight="1">
      <x:c r="A145" s="97" t="str">
        <x:v>AERA-IF-009</x:v>
      </x:c>
      <x:c r="B145" s="98" t="str">
        <x:v>IF</x:v>
      </x:c>
      <x:c r="C145" s="98" t="str">
        <x:v>Interface failures SHALL invoke a defined non-permit or degraded behavior.</x:v>
      </x:c>
      <x:c r="D145" s="98" t="str">
        <x:v>I, A, T and/or D as consequence requires</x:v>
      </x:c>
      <x:c r="E145" s="98" t="str">
        <x:v>PROPOSED</x:v>
      </x:c>
      <x:c r="F145" s="98" t="str">
        <x:v>1.1 RC1 or earlier - lineage pending</x:v>
      </x:c>
      <x:c r="G145" s="98" t="str"/>
      <x:c r="H145" s="98" t="str"/>
      <x:c r="I145" s="98" t="str"/>
      <x:c r="J145" s="98" t="str"/>
      <x:c r="K145" s="98" t="str"/>
      <x:c r="L145" s="98" t="str"/>
      <x:c r="M145" s="98" t="str">
        <x:v>UNDETERMINED - claim-specific profile matrix required</x:v>
      </x:c>
      <x:c r="N145" s="98" t="str">
        <x:v>1.2 WD</x:v>
      </x:c>
      <x:c r="O145" s="98" t="str">
        <x:v>AERA-001-1.2WD-20260807.1</x:v>
      </x:c>
      <x:c r="P145" s="99" t="str">
        <x:v>Authoritative PDF Appendix A; generated from controlled source</x:v>
      </x:c>
    </x:row>
    <x:row r="146" ht="60" customHeight="1">
      <x:c r="A146" s="97" t="str">
        <x:v>AERA-IF-010</x:v>
      </x:c>
      <x:c r="B146" s="98" t="str">
        <x:v>IF</x:v>
      </x:c>
      <x:c r="C146" s="98" t="str">
        <x:v>Interoperability tests SHALL include version mismatch, stale object, replay and material-substitution cases.</x:v>
      </x:c>
      <x:c r="D146" s="98" t="str">
        <x:v>I, A, T and/or D as consequence requires</x:v>
      </x:c>
      <x:c r="E146" s="98" t="str">
        <x:v>PROPOSED</x:v>
      </x:c>
      <x:c r="F146" s="98" t="str">
        <x:v>1.1 RC1 or earlier - lineage pending</x:v>
      </x:c>
      <x:c r="G146" s="98" t="str"/>
      <x:c r="H146" s="98" t="str"/>
      <x:c r="I146" s="98" t="str"/>
      <x:c r="J146" s="98" t="str"/>
      <x:c r="K146" s="98" t="str"/>
      <x:c r="L146" s="98" t="str"/>
      <x:c r="M146" s="98" t="str">
        <x:v>UNDETERMINED - claim-specific profile matrix required</x:v>
      </x:c>
      <x:c r="N146" s="98" t="str">
        <x:v>1.2 WD</x:v>
      </x:c>
      <x:c r="O146" s="98" t="str">
        <x:v>AERA-001-1.2WD-20260807.1</x:v>
      </x:c>
      <x:c r="P146" s="99" t="str">
        <x:v>Authoritative PDF Appendix A; generated from controlled source</x:v>
      </x:c>
    </x:row>
    <x:row r="147" ht="60" customHeight="1">
      <x:c r="A147" s="97" t="str">
        <x:v>AERA-INT-001</x:v>
      </x:c>
      <x:c r="B147" s="98" t="str">
        <x:v>INT</x:v>
      </x:c>
      <x:c r="C147" s="98" t="str">
        <x:v>Intent authorizing an effect SHALL be versioned, attributable, integrity-protected, temporally valid, and machine-testable for objectives, constraints, success, prohibitions, and stops.</x:v>
      </x:c>
      <x:c r="D147" s="98" t="str">
        <x:v>I, T</x:v>
      </x:c>
      <x:c r="E147" s="98" t="str">
        <x:v>PROPOSED</x:v>
      </x:c>
      <x:c r="F147" s="98" t="str">
        <x:v>1.1 RC1 or earlier - lineage pending</x:v>
      </x:c>
      <x:c r="G147" s="98" t="str"/>
      <x:c r="H147" s="98" t="str"/>
      <x:c r="I147" s="98" t="str"/>
      <x:c r="J147" s="98" t="str"/>
      <x:c r="K147" s="98" t="str"/>
      <x:c r="L147" s="98" t="str"/>
      <x:c r="M147" s="98" t="str">
        <x:v>UNDETERMINED - claim-specific profile matrix required</x:v>
      </x:c>
      <x:c r="N147" s="98" t="str">
        <x:v>1.2 WD</x:v>
      </x:c>
      <x:c r="O147" s="98" t="str">
        <x:v>AERA-001-1.2WD-20260807.1</x:v>
      </x:c>
      <x:c r="P147" s="99" t="str">
        <x:v>Authoritative PDF Appendix A; generated from controlled source</x:v>
      </x:c>
    </x:row>
    <x:row r="148" ht="60" customHeight="1">
      <x:c r="A148" s="97" t="str">
        <x:v>AERA-INT-002</x:v>
      </x:c>
      <x:c r="B148" s="98" t="str">
        <x:v>INT</x:v>
      </x:c>
      <x:c r="C148" s="98" t="str">
        <x:v>The implementation SHALL detect material objective/constraint/authority/policy conflicts and resolve by declared precedence or escalate; it SHALL NOT silently optimize unresolved conflict.</x:v>
      </x:c>
      <x:c r="D148" s="98" t="str">
        <x:v>A, T</x:v>
      </x:c>
      <x:c r="E148" s="98" t="str">
        <x:v>PROPOSED</x:v>
      </x:c>
      <x:c r="F148" s="98" t="str">
        <x:v>1.1 RC1 or earlier - lineage pending</x:v>
      </x:c>
      <x:c r="G148" s="98" t="str"/>
      <x:c r="H148" s="98" t="str"/>
      <x:c r="I148" s="98" t="str"/>
      <x:c r="J148" s="98" t="str"/>
      <x:c r="K148" s="98" t="str"/>
      <x:c r="L148" s="98" t="str"/>
      <x:c r="M148" s="98" t="str">
        <x:v>UNDETERMINED - claim-specific profile matrix required</x:v>
      </x:c>
      <x:c r="N148" s="98" t="str">
        <x:v>1.2 WD</x:v>
      </x:c>
      <x:c r="O148" s="98" t="str">
        <x:v>AERA-001-1.2WD-20260807.1</x:v>
      </x:c>
      <x:c r="P148" s="99" t="str">
        <x:v>Authoritative PDF Appendix A; generated from controlled source</x:v>
      </x:c>
    </x:row>
    <x:row r="149" ht="60" customHeight="1">
      <x:c r="A149" s="97" t="str">
        <x:v>AERA-LRN-001</x:v>
      </x:c>
      <x:c r="B149" s="98" t="str">
        <x:v>LRN</x:v>
      </x:c>
      <x:c r="C149" s="98" t="str">
        <x:v>Behavior-changing model, prompt, memory, retrieval, policy, tool, data, orchestration, or equivalent artifacts SHALL be versioned, impact-analyzed, evaluated, approved, observable, and reversible before production authority.</x:v>
      </x:c>
      <x:c r="D149" s="98" t="str">
        <x:v>I, T</x:v>
      </x:c>
      <x:c r="E149" s="98" t="str">
        <x:v>PROPOSED</x:v>
      </x:c>
      <x:c r="F149" s="98" t="str">
        <x:v>1.1 RC1 or earlier - lineage pending</x:v>
      </x:c>
      <x:c r="G149" s="98" t="str"/>
      <x:c r="H149" s="98" t="str"/>
      <x:c r="I149" s="98" t="str"/>
      <x:c r="J149" s="98" t="str"/>
      <x:c r="K149" s="98" t="str"/>
      <x:c r="L149" s="98" t="str"/>
      <x:c r="M149" s="98" t="str">
        <x:v>UNDETERMINED - claim-specific profile matrix required</x:v>
      </x:c>
      <x:c r="N149" s="98" t="str">
        <x:v>1.2 WD</x:v>
      </x:c>
      <x:c r="O149" s="98" t="str">
        <x:v>AERA-001-1.2WD-20260807.1</x:v>
      </x:c>
      <x:c r="P149" s="99" t="str">
        <x:v>Authoritative PDF Appendix A; generated from controlled source</x:v>
      </x:c>
    </x:row>
    <x:row r="150" ht="60" customHeight="1">
      <x:c r="A150" s="97" t="str">
        <x:v>AERA-LRN-002</x:v>
      </x:c>
      <x:c r="B150" s="98" t="str">
        <x:v>LRN</x:v>
      </x:c>
      <x:c r="C150" s="98" t="str">
        <x:v>Learning/planning/adaptation SHALL NOT increase authority, consequence, targets, tools, data rights, validity, or subdelegation except through separate attributable governance and authorization.</x:v>
      </x:c>
      <x:c r="D150" s="98" t="str">
        <x:v>A, T</x:v>
      </x:c>
      <x:c r="E150" s="98" t="str">
        <x:v>PROPOSED</x:v>
      </x:c>
      <x:c r="F150" s="98" t="str">
        <x:v>1.1 RC1 or earlier - lineage pending</x:v>
      </x:c>
      <x:c r="G150" s="98" t="str"/>
      <x:c r="H150" s="98" t="str"/>
      <x:c r="I150" s="98" t="str"/>
      <x:c r="J150" s="98" t="str"/>
      <x:c r="K150" s="98" t="str"/>
      <x:c r="L150" s="98" t="str"/>
      <x:c r="M150" s="98" t="str">
        <x:v>UNDETERMINED - claim-specific profile matrix required</x:v>
      </x:c>
      <x:c r="N150" s="98" t="str">
        <x:v>1.2 WD</x:v>
      </x:c>
      <x:c r="O150" s="98" t="str">
        <x:v>AERA-001-1.2WD-20260807.1</x:v>
      </x:c>
      <x:c r="P150" s="99" t="str">
        <x:v>Authoritative PDF Appendix A; generated from controlled source</x:v>
      </x:c>
    </x:row>
    <x:row r="151" ht="60" customHeight="1">
      <x:c r="A151" s="97" t="str">
        <x:v>AERA-MAT-001</x:v>
      </x:c>
      <x:c r="B151" s="98" t="str">
        <x:v>MAT</x:v>
      </x:c>
      <x:c r="C151" s="98" t="str">
        <x:v>A maturity claim SHALL identify its decision population, consequence scope, dependencies, exclusions and assessment date.</x:v>
      </x:c>
      <x:c r="D151" s="98" t="str">
        <x:v>I, A, T and/or D as consequence requires</x:v>
      </x:c>
      <x:c r="E151" s="98" t="str">
        <x:v>PROPOSED</x:v>
      </x:c>
      <x:c r="F151" s="98" t="str">
        <x:v>1.1 RC1 or earlier - lineage pending</x:v>
      </x:c>
      <x:c r="G151" s="98" t="str"/>
      <x:c r="H151" s="98" t="str"/>
      <x:c r="I151" s="98" t="str"/>
      <x:c r="J151" s="98" t="str"/>
      <x:c r="K151" s="98" t="str"/>
      <x:c r="L151" s="98" t="str"/>
      <x:c r="M151" s="98" t="str">
        <x:v>UNDETERMINED - claim-specific profile matrix required</x:v>
      </x:c>
      <x:c r="N151" s="98" t="str">
        <x:v>1.2 WD</x:v>
      </x:c>
      <x:c r="O151" s="98" t="str">
        <x:v>AERA-001-1.2WD-20260807.1</x:v>
      </x:c>
      <x:c r="P151" s="99" t="str">
        <x:v>Authoritative PDF Appendix A; generated from controlled source</x:v>
      </x:c>
    </x:row>
    <x:row r="152" ht="60" customHeight="1">
      <x:c r="A152" s="97" t="str">
        <x:v>AERA-MAT-002</x:v>
      </x:c>
      <x:c r="B152" s="98" t="str">
        <x:v>MAT</x:v>
      </x:c>
      <x:c r="C152" s="98" t="str">
        <x:v>Assessors SHALL score demonstrated operating behavior rather than planned or purchased capability.</x:v>
      </x:c>
      <x:c r="D152" s="98" t="str">
        <x:v>I, A, T and/or D as consequence requires</x:v>
      </x:c>
      <x:c r="E152" s="98" t="str">
        <x:v>PROPOSED</x:v>
      </x:c>
      <x:c r="F152" s="98" t="str">
        <x:v>1.1 RC1 or earlier - lineage pending</x:v>
      </x:c>
      <x:c r="G152" s="98" t="str"/>
      <x:c r="H152" s="98" t="str"/>
      <x:c r="I152" s="98" t="str"/>
      <x:c r="J152" s="98" t="str"/>
      <x:c r="K152" s="98" t="str"/>
      <x:c r="L152" s="98" t="str"/>
      <x:c r="M152" s="98" t="str">
        <x:v>UNDETERMINED - claim-specific profile matrix required</x:v>
      </x:c>
      <x:c r="N152" s="98" t="str">
        <x:v>1.2 WD</x:v>
      </x:c>
      <x:c r="O152" s="98" t="str">
        <x:v>AERA-001-1.2WD-20260807.1</x:v>
      </x:c>
      <x:c r="P152" s="99" t="str">
        <x:v>Authoritative PDF Appendix A; generated from controlled source</x:v>
      </x:c>
    </x:row>
    <x:row r="153" ht="60" customHeight="1">
      <x:c r="A153" s="97" t="str">
        <x:v>AERA-MAT-003</x:v>
      </x:c>
      <x:c r="B153" s="98" t="str">
        <x:v>MAT</x:v>
      </x:c>
      <x:c r="C153" s="98" t="str">
        <x:v>The reported level SHALL NOT exceed the lowest evidenced level among consequence-material dimensions.</x:v>
      </x:c>
      <x:c r="D153" s="98" t="str">
        <x:v>I, A, T and/or D as consequence requires</x:v>
      </x:c>
      <x:c r="E153" s="98" t="str">
        <x:v>PROPOSED</x:v>
      </x:c>
      <x:c r="F153" s="98" t="str">
        <x:v>1.1 RC1 or earlier - lineage pending</x:v>
      </x:c>
      <x:c r="G153" s="98" t="str"/>
      <x:c r="H153" s="98" t="str"/>
      <x:c r="I153" s="98" t="str"/>
      <x:c r="J153" s="98" t="str"/>
      <x:c r="K153" s="98" t="str"/>
      <x:c r="L153" s="98" t="str"/>
      <x:c r="M153" s="98" t="str">
        <x:v>UNDETERMINED - claim-specific profile matrix required</x:v>
      </x:c>
      <x:c r="N153" s="98" t="str">
        <x:v>1.2 WD</x:v>
      </x:c>
      <x:c r="O153" s="98" t="str">
        <x:v>AERA-001-1.2WD-20260807.1</x:v>
      </x:c>
      <x:c r="P153" s="99" t="str">
        <x:v>Authoritative PDF Appendix A; generated from controlled source</x:v>
      </x:c>
    </x:row>
    <x:row r="154" ht="60" customHeight="1">
      <x:c r="A154" s="97" t="str">
        <x:v>AERA-MAT-004</x:v>
      </x:c>
      <x:c r="B154" s="98" t="str">
        <x:v>MAT</x:v>
      </x:c>
      <x:c r="C154" s="98" t="str">
        <x:v>Level 3 SHALL require tested-effective evidence for every consequence-material control.</x:v>
      </x:c>
      <x:c r="D154" s="98" t="str">
        <x:v>I, A, T and/or D as consequence requires</x:v>
      </x:c>
      <x:c r="E154" s="98" t="str">
        <x:v>PROPOSED</x:v>
      </x:c>
      <x:c r="F154" s="98" t="str">
        <x:v>1.1 RC1 or earlier - lineage pending</x:v>
      </x:c>
      <x:c r="G154" s="98" t="str"/>
      <x:c r="H154" s="98" t="str"/>
      <x:c r="I154" s="98" t="str"/>
      <x:c r="J154" s="98" t="str"/>
      <x:c r="K154" s="98" t="str"/>
      <x:c r="L154" s="98" t="str"/>
      <x:c r="M154" s="98" t="str">
        <x:v>UNDETERMINED - claim-specific profile matrix required</x:v>
      </x:c>
      <x:c r="N154" s="98" t="str">
        <x:v>1.2 WD</x:v>
      </x:c>
      <x:c r="O154" s="98" t="str">
        <x:v>AERA-001-1.2WD-20260807.1</x:v>
      </x:c>
      <x:c r="P154" s="99" t="str">
        <x:v>Authoritative PDF Appendix A; generated from controlled source</x:v>
      </x:c>
    </x:row>
    <x:row r="155" ht="60" customHeight="1">
      <x:c r="A155" s="97" t="str">
        <x:v>AERA-MAT-005</x:v>
      </x:c>
      <x:c r="B155" s="98" t="str">
        <x:v>MAT</x:v>
      </x:c>
      <x:c r="C155" s="98" t="str">
        <x:v>Levels 4 and 5 SHALL require sustained-effective evidence for the operating behavior claimed.</x:v>
      </x:c>
      <x:c r="D155" s="98" t="str">
        <x:v>I, A, T and/or D as consequence requires</x:v>
      </x:c>
      <x:c r="E155" s="98" t="str">
        <x:v>PROPOSED</x:v>
      </x:c>
      <x:c r="F155" s="98" t="str">
        <x:v>1.1 RC1 or earlier - lineage pending</x:v>
      </x:c>
      <x:c r="G155" s="98" t="str"/>
      <x:c r="H155" s="98" t="str"/>
      <x:c r="I155" s="98" t="str"/>
      <x:c r="J155" s="98" t="str"/>
      <x:c r="K155" s="98" t="str"/>
      <x:c r="L155" s="98" t="str"/>
      <x:c r="M155" s="98" t="str">
        <x:v>UNDETERMINED - claim-specific profile matrix required</x:v>
      </x:c>
      <x:c r="N155" s="98" t="str">
        <x:v>1.2 WD</x:v>
      </x:c>
      <x:c r="O155" s="98" t="str">
        <x:v>AERA-001-1.2WD-20260807.1</x:v>
      </x:c>
      <x:c r="P155" s="99" t="str">
        <x:v>Authoritative PDF Appendix A; generated from controlled source</x:v>
      </x:c>
    </x:row>
    <x:row r="156" ht="60" customHeight="1">
      <x:c r="A156" s="97" t="str">
        <x:v>AERA-MAT-006</x:v>
      </x:c>
      <x:c r="B156" s="98" t="str">
        <x:v>MAT</x:v>
      </x:c>
      <x:c r="C156" s="98" t="str">
        <x:v>Adverse results, workarounds, overrides and unresolved anomalies SHALL remain in the evidence package.</x:v>
      </x:c>
      <x:c r="D156" s="98" t="str">
        <x:v>I, A, T and/or D as consequence requires</x:v>
      </x:c>
      <x:c r="E156" s="98" t="str">
        <x:v>PROPOSED</x:v>
      </x:c>
      <x:c r="F156" s="98" t="str">
        <x:v>1.1 RC1 or earlier - lineage pending</x:v>
      </x:c>
      <x:c r="G156" s="98" t="str"/>
      <x:c r="H156" s="98" t="str"/>
      <x:c r="I156" s="98" t="str"/>
      <x:c r="J156" s="98" t="str"/>
      <x:c r="K156" s="98" t="str"/>
      <x:c r="L156" s="98" t="str"/>
      <x:c r="M156" s="98" t="str">
        <x:v>UNDETERMINED - claim-specific profile matrix required</x:v>
      </x:c>
      <x:c r="N156" s="98" t="str">
        <x:v>1.2 WD</x:v>
      </x:c>
      <x:c r="O156" s="98" t="str">
        <x:v>AERA-001-1.2WD-20260807.1</x:v>
      </x:c>
      <x:c r="P156" s="99" t="str">
        <x:v>Authoritative PDF Appendix A; generated from controlled source</x:v>
      </x:c>
    </x:row>
    <x:row r="157" ht="60" customHeight="1">
      <x:c r="A157" s="97" t="str">
        <x:v>AERA-MAT-007</x:v>
      </x:c>
      <x:c r="B157" s="98" t="str">
        <x:v>MAT</x:v>
      </x:c>
      <x:c r="C157" s="98" t="str">
        <x:v>Promotion thresholds SHALL be declared before formal assessment.</x:v>
      </x:c>
      <x:c r="D157" s="98" t="str">
        <x:v>I, A, T and/or D as consequence requires</x:v>
      </x:c>
      <x:c r="E157" s="98" t="str">
        <x:v>PROPOSED</x:v>
      </x:c>
      <x:c r="F157" s="98" t="str">
        <x:v>1.1 RC1 or earlier - lineage pending</x:v>
      </x:c>
      <x:c r="G157" s="98" t="str"/>
      <x:c r="H157" s="98" t="str"/>
      <x:c r="I157" s="98" t="str"/>
      <x:c r="J157" s="98" t="str"/>
      <x:c r="K157" s="98" t="str"/>
      <x:c r="L157" s="98" t="str"/>
      <x:c r="M157" s="98" t="str">
        <x:v>UNDETERMINED - claim-specific profile matrix required</x:v>
      </x:c>
      <x:c r="N157" s="98" t="str">
        <x:v>1.2 WD</x:v>
      </x:c>
      <x:c r="O157" s="98" t="str">
        <x:v>AERA-001-1.2WD-20260807.1</x:v>
      </x:c>
      <x:c r="P157" s="99" t="str">
        <x:v>Authoritative PDF Appendix A; generated from controlled source</x:v>
      </x:c>
    </x:row>
    <x:row r="158" ht="60" customHeight="1">
      <x:c r="A158" s="97" t="str">
        <x:v>AERA-MAT-008</x:v>
      </x:c>
      <x:c r="B158" s="98" t="str">
        <x:v>MAT</x:v>
      </x:c>
      <x:c r="C158" s="98" t="str">
        <x:v>Material change SHALL trigger impact analysis and reassessment of affected dimension scores.</x:v>
      </x:c>
      <x:c r="D158" s="98" t="str">
        <x:v>I, A, T and/or D as consequence requires</x:v>
      </x:c>
      <x:c r="E158" s="98" t="str">
        <x:v>PROPOSED</x:v>
      </x:c>
      <x:c r="F158" s="98" t="str">
        <x:v>1.1 RC1 or earlier - lineage pending</x:v>
      </x:c>
      <x:c r="G158" s="98" t="str"/>
      <x:c r="H158" s="98" t="str"/>
      <x:c r="I158" s="98" t="str"/>
      <x:c r="J158" s="98" t="str"/>
      <x:c r="K158" s="98" t="str"/>
      <x:c r="L158" s="98" t="str"/>
      <x:c r="M158" s="98" t="str">
        <x:v>UNDETERMINED - claim-specific profile matrix required</x:v>
      </x:c>
      <x:c r="N158" s="98" t="str">
        <x:v>1.2 WD</x:v>
      </x:c>
      <x:c r="O158" s="98" t="str">
        <x:v>AERA-001-1.2WD-20260807.1</x:v>
      </x:c>
      <x:c r="P158" s="99" t="str">
        <x:v>Authoritative PDF Appendix A; generated from controlled source</x:v>
      </x:c>
    </x:row>
    <x:row r="159" ht="60" customHeight="1">
      <x:c r="A159" s="97" t="str">
        <x:v>AERA-MAT-009</x:v>
      </x:c>
      <x:c r="B159" s="98" t="str">
        <x:v>MAT</x:v>
      </x:c>
      <x:c r="C159" s="98" t="str">
        <x:v>A SUSTAINED EFFECTIVE evidence claim SHALL identify the minimum observation interval, operating exposure, event and consequence coverage, change history, adverse results, and rationale for representativeness before assessment begins.</x:v>
      </x:c>
      <x:c r="D159" s="98" t="str">
        <x:v>I, A</x:v>
      </x:c>
      <x:c r="E159" s="98" t="str">
        <x:v>PROPOSED</x:v>
      </x:c>
      <x:c r="F159" s="98" t="str">
        <x:v>1.1 RC1 or earlier - lineage pending</x:v>
      </x:c>
      <x:c r="G159" s="98" t="str"/>
      <x:c r="H159" s="98" t="str"/>
      <x:c r="I159" s="98" t="str"/>
      <x:c r="J159" s="98" t="str"/>
      <x:c r="K159" s="98" t="str"/>
      <x:c r="L159" s="98" t="str"/>
      <x:c r="M159" s="98" t="str">
        <x:v>UNDETERMINED - claim-specific profile matrix required</x:v>
      </x:c>
      <x:c r="N159" s="98" t="str">
        <x:v>1.2 WD</x:v>
      </x:c>
      <x:c r="O159" s="98" t="str">
        <x:v>AERA-001-1.2WD-20260807.1</x:v>
      </x:c>
      <x:c r="P159" s="99" t="str">
        <x:v>Authoritative PDF Appendix A; generated from controlled source</x:v>
      </x:c>
    </x:row>
    <x:row r="160" ht="60" customHeight="1">
      <x:c r="A160" s="97" t="str">
        <x:v>AERA-PNT-001</x:v>
      </x:c>
      <x:c r="B160" s="98" t="str">
        <x:v>PNT</x:v>
      </x:c>
      <x:c r="C160" s="98" t="str">
        <x:v>Each decision-relevant time or position claim SHALL identify its contributing sources, distribution or derivation path, reference time scale or coordinate frame as applicable, observation time, uncertainty, integrity state, required traceability, valid interval, and degraded-state behavior.</x:v>
      </x:c>
      <x:c r="D160" s="98" t="str">
        <x:v>I, A, T</x:v>
      </x:c>
      <x:c r="E160" s="98" t="str">
        <x:v>PROPOSED</x:v>
      </x:c>
      <x:c r="F160" s="98" t="str">
        <x:v>1.1 RC1 or earlier - lineage pending</x:v>
      </x:c>
      <x:c r="G160" s="98" t="str"/>
      <x:c r="H160" s="98" t="str"/>
      <x:c r="I160" s="98" t="str"/>
      <x:c r="J160" s="98" t="str"/>
      <x:c r="K160" s="98" t="str"/>
      <x:c r="L160" s="98" t="str"/>
      <x:c r="M160" s="98" t="str">
        <x:v>UNDETERMINED - claim-specific profile matrix required</x:v>
      </x:c>
      <x:c r="N160" s="98" t="str">
        <x:v>1.2 WD</x:v>
      </x:c>
      <x:c r="O160" s="98" t="str">
        <x:v>AERA-001-1.2WD-20260807.1</x:v>
      </x:c>
      <x:c r="P160" s="99" t="str">
        <x:v>Authoritative PDF Appendix A; generated from controlled source</x:v>
      </x:c>
    </x:row>
    <x:row r="161" ht="60" customHeight="1">
      <x:c r="A161" s="97" t="str">
        <x:v>AERA-PNT-002</x:v>
      </x:c>
      <x:c r="B161" s="98" t="str">
        <x:v>PNT</x:v>
      </x:c>
      <x:c r="C161" s="98" t="str">
        <x:v>PNT reporting and decision logic SHALL distinguish PRESENT, MONITORED, ACCEPTED, and USED IN SOLUTION for each source and SHALL NOT treat those states as interchangeable.</x:v>
      </x:c>
      <x:c r="D161" s="98" t="str">
        <x:v>I, T</x:v>
      </x:c>
      <x:c r="E161" s="98" t="str">
        <x:v>PROPOSED</x:v>
      </x:c>
      <x:c r="F161" s="98" t="str">
        <x:v>1.1 RC1 or earlier - lineage pending</x:v>
      </x:c>
      <x:c r="G161" s="98" t="str"/>
      <x:c r="H161" s="98" t="str"/>
      <x:c r="I161" s="98" t="str"/>
      <x:c r="J161" s="98" t="str"/>
      <x:c r="K161" s="98" t="str"/>
      <x:c r="L161" s="98" t="str"/>
      <x:c r="M161" s="98" t="str">
        <x:v>UNDETERMINED - claim-specific profile matrix required</x:v>
      </x:c>
      <x:c r="N161" s="98" t="str">
        <x:v>1.2 WD</x:v>
      </x:c>
      <x:c r="O161" s="98" t="str">
        <x:v>AERA-001-1.2WD-20260807.1</x:v>
      </x:c>
      <x:c r="P161" s="99" t="str">
        <x:v>Authoritative PDF Appendix A; generated from controlled source</x:v>
      </x:c>
    </x:row>
    <x:row r="162" ht="60" customHeight="1">
      <x:c r="A162" s="97" t="str">
        <x:v>AERA-PNT-003</x:v>
      </x:c>
      <x:c r="B162" s="98" t="str">
        <x:v>PNT</x:v>
      </x:c>
      <x:c r="C162" s="98" t="str">
        <x:v>Each decision contract that depends on time, order, freshness, synchronization, or position SHALL define and enforce bounds for evidence age, event order, time or position uncertainty, authority and policy expiration tolerance, holdover, and behavior when any bound is exceeded.</x:v>
      </x:c>
      <x:c r="D162" s="98" t="str">
        <x:v>I, A, T</x:v>
      </x:c>
      <x:c r="E162" s="98" t="str">
        <x:v>PROPOSED</x:v>
      </x:c>
      <x:c r="F162" s="98" t="str">
        <x:v>1.1 RC1 or earlier - lineage pending</x:v>
      </x:c>
      <x:c r="G162" s="98" t="str"/>
      <x:c r="H162" s="98" t="str"/>
      <x:c r="I162" s="98" t="str"/>
      <x:c r="J162" s="98" t="str"/>
      <x:c r="K162" s="98" t="str"/>
      <x:c r="L162" s="98" t="str"/>
      <x:c r="M162" s="98" t="str">
        <x:v>UNDETERMINED - claim-specific profile matrix required</x:v>
      </x:c>
      <x:c r="N162" s="98" t="str">
        <x:v>1.2 WD</x:v>
      </x:c>
      <x:c r="O162" s="98" t="str">
        <x:v>AERA-001-1.2WD-20260807.1</x:v>
      </x:c>
      <x:c r="P162" s="99" t="str">
        <x:v>Authoritative PDF Appendix A; generated from controlled source</x:v>
      </x:c>
    </x:row>
    <x:row r="163" ht="60" customHeight="1">
      <x:c r="A163" s="97" t="str">
        <x:v>AERA-PNT-004</x:v>
      </x:c>
      <x:c r="B163" s="98" t="str">
        <x:v>PNT</x:v>
      </x:c>
      <x:c r="C163" s="98" t="str">
        <x:v>High-consequence PNT-dependent classes SHALL analyze/test common-mode failures and define acceptable alternate, holdover, local, or no-service state.</x:v>
      </x:c>
      <x:c r="D163" s="98" t="str">
        <x:v>A, T</x:v>
      </x:c>
      <x:c r="E163" s="98" t="str">
        <x:v>PROPOSED</x:v>
      </x:c>
      <x:c r="F163" s="98" t="str">
        <x:v>1.1 RC1 or earlier - lineage pending</x:v>
      </x:c>
      <x:c r="G163" s="98" t="str"/>
      <x:c r="H163" s="98" t="str"/>
      <x:c r="I163" s="98" t="str"/>
      <x:c r="J163" s="98" t="str"/>
      <x:c r="K163" s="98" t="str"/>
      <x:c r="L163" s="98" t="str"/>
      <x:c r="M163" s="98" t="str">
        <x:v>UNDETERMINED - claim-specific profile matrix required</x:v>
      </x:c>
      <x:c r="N163" s="98" t="str">
        <x:v>1.2 WD</x:v>
      </x:c>
      <x:c r="O163" s="98" t="str">
        <x:v>AERA-001-1.2WD-20260807.1</x:v>
      </x:c>
      <x:c r="P163" s="99" t="str">
        <x:v>Authoritative PDF Appendix A; generated from controlled source</x:v>
      </x:c>
    </x:row>
    <x:row r="164" ht="60" customHeight="1">
      <x:c r="A164" s="97" t="str">
        <x:v>AERA-PR-001</x:v>
      </x:c>
      <x:c r="B164" s="98" t="str">
        <x:v>PR</x:v>
      </x:c>
      <x:c r="C164" s="98" t="str">
        <x:v>For each autonomous decision class, the organization SHALL designate an accountable human or governing body that retains responsibility for mission legitimacy, delegated authority, residual-risk acceptance, suspension, and reassessment.</x:v>
      </x:c>
      <x:c r="D164" s="98" t="str">
        <x:v>I, D</x:v>
      </x:c>
      <x:c r="E164" s="98" t="str">
        <x:v>PROPOSED</x:v>
      </x:c>
      <x:c r="F164" s="98" t="str">
        <x:v>1.1 RC1 or earlier - lineage pending</x:v>
      </x:c>
      <x:c r="G164" s="98" t="str"/>
      <x:c r="H164" s="98" t="str"/>
      <x:c r="I164" s="98" t="str"/>
      <x:c r="J164" s="98" t="str"/>
      <x:c r="K164" s="98" t="str"/>
      <x:c r="L164" s="98" t="str"/>
      <x:c r="M164" s="98" t="str">
        <x:v>UNDETERMINED - claim-specific profile matrix required</x:v>
      </x:c>
      <x:c r="N164" s="98" t="str">
        <x:v>1.2 WD</x:v>
      </x:c>
      <x:c r="O164" s="98" t="str">
        <x:v>AERA-001-1.2WD-20260807.1</x:v>
      </x:c>
      <x:c r="P164" s="99" t="str">
        <x:v>Authoritative PDF Appendix A; generated from controlled source</x:v>
      </x:c>
    </x:row>
    <x:row r="165" ht="60" customHeight="1">
      <x:c r="A165" s="97" t="str">
        <x:v>AERA-PR-002</x:v>
      </x:c>
      <x:c r="B165" s="98" t="str">
        <x:v>PR</x:v>
      </x:c>
      <x:c r="C165" s="98" t="str">
        <x:v>An autonomous actor SHALL exercise only decision rights contained in a current, attributable, revocable delegation whose scope includes the actor, action, target, purpose, context, consequence ceiling, and validity interval.</x:v>
      </x:c>
      <x:c r="D165" s="98" t="str">
        <x:v>I, T</x:v>
      </x:c>
      <x:c r="E165" s="98" t="str">
        <x:v>PROPOSED</x:v>
      </x:c>
      <x:c r="F165" s="98" t="str">
        <x:v>1.1 RC1 or earlier - lineage pending</x:v>
      </x:c>
      <x:c r="G165" s="98" t="str"/>
      <x:c r="H165" s="98" t="str"/>
      <x:c r="I165" s="98" t="str"/>
      <x:c r="J165" s="98" t="str"/>
      <x:c r="K165" s="98" t="str"/>
      <x:c r="L165" s="98" t="str"/>
      <x:c r="M165" s="98" t="str">
        <x:v>UNDETERMINED - claim-specific profile matrix required</x:v>
      </x:c>
      <x:c r="N165" s="98" t="str">
        <x:v>1.2 WD</x:v>
      </x:c>
      <x:c r="O165" s="98" t="str">
        <x:v>AERA-001-1.2WD-20260807.1</x:v>
      </x:c>
      <x:c r="P165" s="99" t="str">
        <x:v>Authoritative PDF Appendix A; generated from controlled source</x:v>
      </x:c>
    </x:row>
    <x:row r="166" ht="60" customHeight="1">
      <x:c r="A166" s="97" t="str">
        <x:v>AERA-PR-003</x:v>
      </x:c>
      <x:c r="B166" s="98" t="str">
        <x:v>PR</x:v>
      </x:c>
      <x:c r="C166" s="98" t="str">
        <x:v>A model output SHALL NOT authorize a material effect unless the applicable authority, evidence, policy, consequence, temporal-validity, and recovery predicates are satisfied and an enforcement point accepts a current authorization artifact bound to the transaction.</x:v>
      </x:c>
      <x:c r="D166" s="98" t="str">
        <x:v>A, T</x:v>
      </x:c>
      <x:c r="E166" s="98" t="str">
        <x:v>PROPOSED</x:v>
      </x:c>
      <x:c r="F166" s="98" t="str">
        <x:v>1.1 RC1 or earlier - lineage pending</x:v>
      </x:c>
      <x:c r="G166" s="98" t="str"/>
      <x:c r="H166" s="98" t="str"/>
      <x:c r="I166" s="98" t="str"/>
      <x:c r="J166" s="98" t="str"/>
      <x:c r="K166" s="98" t="str"/>
      <x:c r="L166" s="98" t="str"/>
      <x:c r="M166" s="98" t="str">
        <x:v>UNDETERMINED - claim-specific profile matrix required</x:v>
      </x:c>
      <x:c r="N166" s="98" t="str">
        <x:v>1.2 WD</x:v>
      </x:c>
      <x:c r="O166" s="98" t="str">
        <x:v>AERA-001-1.2WD-20260807.1</x:v>
      </x:c>
      <x:c r="P166" s="99" t="str">
        <x:v>Authoritative PDF Appendix A; generated from controlled source</x:v>
      </x:c>
    </x:row>
    <x:row r="167" ht="60" customHeight="1">
      <x:c r="A167" s="97" t="str">
        <x:v>AERA-PR-004</x:v>
      </x:c>
      <x:c r="B167" s="98" t="str">
        <x:v>PR</x:v>
      </x:c>
      <x:c r="C167" s="98" t="str">
        <x:v>If an optimization objective conflicts with current operational intent, law, policy, or an applicable prohibition, the implementation SHALL apply the declared precedence rules; unresolved conflict SHALL produce a non-permit disposition.</x:v>
      </x:c>
      <x:c r="D167" s="98" t="str">
        <x:v>I, T</x:v>
      </x:c>
      <x:c r="E167" s="98" t="str">
        <x:v>PROPOSED</x:v>
      </x:c>
      <x:c r="F167" s="98" t="str">
        <x:v>1.1 RC1 or earlier - lineage pending</x:v>
      </x:c>
      <x:c r="G167" s="98" t="str"/>
      <x:c r="H167" s="98" t="str"/>
      <x:c r="I167" s="98" t="str"/>
      <x:c r="J167" s="98" t="str"/>
      <x:c r="K167" s="98" t="str"/>
      <x:c r="L167" s="98" t="str"/>
      <x:c r="M167" s="98" t="str">
        <x:v>UNDETERMINED - claim-specific profile matrix required</x:v>
      </x:c>
      <x:c r="N167" s="98" t="str">
        <x:v>1.2 WD</x:v>
      </x:c>
      <x:c r="O167" s="98" t="str">
        <x:v>AERA-001-1.2WD-20260807.1</x:v>
      </x:c>
      <x:c r="P167" s="99" t="str">
        <x:v>Authoritative PDF Appendix A; generated from controlled source</x:v>
      </x:c>
    </x:row>
    <x:row r="168" ht="60" customHeight="1">
      <x:c r="A168" s="97" t="str">
        <x:v>AERA-PR-005</x:v>
      </x:c>
      <x:c r="B168" s="98" t="str">
        <x:v>PR</x:v>
      </x:c>
      <x:c r="C168" s="98" t="str">
        <x:v>Each AERA layer and decision-relevant interface SHALL identify the identity, authorization, evidence-integrity, communications-security, resilience, logging, and recovery properties that it provides, requires, and verifies; allocation of a property to one layer SHALL NOT imply that another layer inherits it without validation.</x:v>
      </x:c>
      <x:c r="D168" s="98" t="str">
        <x:v>I, A</x:v>
      </x:c>
      <x:c r="E168" s="98" t="str">
        <x:v>PROPOSED</x:v>
      </x:c>
      <x:c r="F168" s="98" t="str">
        <x:v>1.1 RC1 or earlier - lineage pending</x:v>
      </x:c>
      <x:c r="G168" s="98" t="str"/>
      <x:c r="H168" s="98" t="str"/>
      <x:c r="I168" s="98" t="str"/>
      <x:c r="J168" s="98" t="str"/>
      <x:c r="K168" s="98" t="str"/>
      <x:c r="L168" s="98" t="str"/>
      <x:c r="M168" s="98" t="str">
        <x:v>UNDETERMINED - claim-specific profile matrix required</x:v>
      </x:c>
      <x:c r="N168" s="98" t="str">
        <x:v>1.2 WD</x:v>
      </x:c>
      <x:c r="O168" s="98" t="str">
        <x:v>AERA-001-1.2WD-20260807.1</x:v>
      </x:c>
      <x:c r="P168" s="99" t="str">
        <x:v>Authoritative PDF Appendix A; generated from controlled source</x:v>
      </x:c>
    </x:row>
    <x:row r="169" ht="60" customHeight="1">
      <x:c r="A169" s="97" t="str">
        <x:v>AERA-PR-006</x:v>
      </x:c>
      <x:c r="B169" s="98" t="str">
        <x:v>PR</x:v>
      </x:c>
      <x:c r="C169" s="98" t="str">
        <x:v>The DAF SHALL re-evaluate affected assurance claims before further effect whenever a policy-defined material change occurs in evidence, context, threat state, actor or system state, temporal state, or recovery readiness.</x:v>
      </x:c>
      <x:c r="D169" s="98" t="str">
        <x:v>I, T</x:v>
      </x:c>
      <x:c r="E169" s="98" t="str">
        <x:v>PROPOSED</x:v>
      </x:c>
      <x:c r="F169" s="98" t="str">
        <x:v>1.1 RC1 or earlier - lineage pending</x:v>
      </x:c>
      <x:c r="G169" s="98" t="str"/>
      <x:c r="H169" s="98" t="str"/>
      <x:c r="I169" s="98" t="str"/>
      <x:c r="J169" s="98" t="str"/>
      <x:c r="K169" s="98" t="str"/>
      <x:c r="L169" s="98" t="str"/>
      <x:c r="M169" s="98" t="str">
        <x:v>UNDETERMINED - claim-specific profile matrix required</x:v>
      </x:c>
      <x:c r="N169" s="98" t="str">
        <x:v>1.2 WD</x:v>
      </x:c>
      <x:c r="O169" s="98" t="str">
        <x:v>AERA-001-1.2WD-20260807.1</x:v>
      </x:c>
      <x:c r="P169" s="99" t="str">
        <x:v>Authoritative PDF Appendix A; generated from controlled source</x:v>
      </x:c>
    </x:row>
    <x:row r="170" ht="60" customHeight="1">
      <x:c r="A170" s="97" t="str">
        <x:v>AERA-PR-007</x:v>
      </x:c>
      <x:c r="B170" s="98" t="str">
        <x:v>PR</x:v>
      </x:c>
      <x:c r="C170" s="98" t="str">
        <x:v>Before authorizing a proposal that can exceed a validated recovery envelope, the accountable authority SHALL either prohibit the proposal or approve a consequence-specific control set that includes narrower enforceable bounds, additional independent prevention or inhibition, effect observation, and explicit residual-risk acceptance.</x:v>
      </x:c>
      <x:c r="D170" s="98" t="str">
        <x:v>I, A, T</x:v>
      </x:c>
      <x:c r="E170" s="98" t="str">
        <x:v>PROPOSED</x:v>
      </x:c>
      <x:c r="F170" s="98" t="str">
        <x:v>1.1 RC1 or earlier - lineage pending</x:v>
      </x:c>
      <x:c r="G170" s="98" t="str"/>
      <x:c r="H170" s="98" t="str"/>
      <x:c r="I170" s="98" t="str"/>
      <x:c r="J170" s="98" t="str"/>
      <x:c r="K170" s="98" t="str"/>
      <x:c r="L170" s="98" t="str"/>
      <x:c r="M170" s="98" t="str">
        <x:v>UNDETERMINED - claim-specific profile matrix required</x:v>
      </x:c>
      <x:c r="N170" s="98" t="str">
        <x:v>1.2 WD</x:v>
      </x:c>
      <x:c r="O170" s="98" t="str">
        <x:v>AERA-001-1.2WD-20260807.1</x:v>
      </x:c>
      <x:c r="P170" s="99" t="str">
        <x:v>Authoritative PDF Appendix A; generated from controlled source</x:v>
      </x:c>
    </x:row>
    <x:row r="171" ht="60" customHeight="1">
      <x:c r="A171" s="97" t="str">
        <x:v>AERA-PR-008</x:v>
      </x:c>
      <x:c r="B171" s="98" t="str">
        <x:v>PR</x:v>
      </x:c>
      <x:c r="C171" s="98" t="str">
        <x:v>Before a behavior-changing model, prompt, memory, retrieval source, policy, data set, tool, dependency, threshold, or orchestration artifact is used under production authority, the organization SHALL version and provenance-bind the artifact, analyze its impact, test and approve it, make its use observable, and provide a tested rollback or safe-replacement path.</x:v>
      </x:c>
      <x:c r="D171" s="98" t="str">
        <x:v>I, T, D</x:v>
      </x:c>
      <x:c r="E171" s="98" t="str">
        <x:v>PROPOSED</x:v>
      </x:c>
      <x:c r="F171" s="98" t="str">
        <x:v>1.1 RC1 or earlier - lineage pending</x:v>
      </x:c>
      <x:c r="G171" s="98" t="str"/>
      <x:c r="H171" s="98" t="str"/>
      <x:c r="I171" s="98" t="str"/>
      <x:c r="J171" s="98" t="str"/>
      <x:c r="K171" s="98" t="str"/>
      <x:c r="L171" s="98" t="str"/>
      <x:c r="M171" s="98" t="str">
        <x:v>UNDETERMINED - claim-specific profile matrix required</x:v>
      </x:c>
      <x:c r="N171" s="98" t="str">
        <x:v>1.2 WD</x:v>
      </x:c>
      <x:c r="O171" s="98" t="str">
        <x:v>AERA-001-1.2WD-20260807.1</x:v>
      </x:c>
      <x:c r="P171" s="99" t="str">
        <x:v>Authoritative PDF Appendix A; generated from controlled source</x:v>
      </x:c>
    </x:row>
    <x:row r="172" ht="60" customHeight="1">
      <x:c r="A172" s="97" t="str">
        <x:v>AERA-PR-009</x:v>
      </x:c>
      <x:c r="B172" s="98" t="str">
        <x:v>PR</x:v>
      </x:c>
      <x:c r="C172" s="98" t="str">
        <x:v>Each decision contract SHALL specify and enforce maximum evidence age, event-order and synchronization tolerances, time or position uncertainty bounds as applicable, and the disposition to use when a temporal bound is exceeded.</x:v>
      </x:c>
      <x:c r="D172" s="98" t="str">
        <x:v>I, A, T</x:v>
      </x:c>
      <x:c r="E172" s="98" t="str">
        <x:v>PROPOSED</x:v>
      </x:c>
      <x:c r="F172" s="98" t="str">
        <x:v>1.1 RC1 or earlier - lineage pending</x:v>
      </x:c>
      <x:c r="G172" s="98" t="str"/>
      <x:c r="H172" s="98" t="str"/>
      <x:c r="I172" s="98" t="str"/>
      <x:c r="J172" s="98" t="str"/>
      <x:c r="K172" s="98" t="str"/>
      <x:c r="L172" s="98" t="str"/>
      <x:c r="M172" s="98" t="str">
        <x:v>UNDETERMINED - claim-specific profile matrix required</x:v>
      </x:c>
      <x:c r="N172" s="98" t="str">
        <x:v>1.2 WD</x:v>
      </x:c>
      <x:c r="O172" s="98" t="str">
        <x:v>AERA-001-1.2WD-20260807.1</x:v>
      </x:c>
      <x:c r="P172" s="99" t="str">
        <x:v>Authoritative PDF Appendix A; generated from controlled source</x:v>
      </x:c>
    </x:row>
    <x:row r="173" ht="60" customHeight="1">
      <x:c r="A173" s="97" t="str">
        <x:v>AERA-PR-010</x:v>
      </x:c>
      <x:c r="B173" s="98" t="str">
        <x:v>PR</x:v>
      </x:c>
      <x:c r="C173" s="98" t="str">
        <x:v>The minimum control floor for a decision class SHALL be selected from its worst credible consequence and SHALL NOT be reduced on the basis of model type, implementation brand, vendor assertion, or claimed technical sophistication.</x:v>
      </x:c>
      <x:c r="D173" s="98" t="str">
        <x:v>I, A</x:v>
      </x:c>
      <x:c r="E173" s="98" t="str">
        <x:v>PROPOSED</x:v>
      </x:c>
      <x:c r="F173" s="98" t="str">
        <x:v>1.1 RC1 or earlier - lineage pending</x:v>
      </x:c>
      <x:c r="G173" s="98" t="str"/>
      <x:c r="H173" s="98" t="str"/>
      <x:c r="I173" s="98" t="str"/>
      <x:c r="J173" s="98" t="str"/>
      <x:c r="K173" s="98" t="str"/>
      <x:c r="L173" s="98" t="str"/>
      <x:c r="M173" s="98" t="str">
        <x:v>UNDETERMINED - claim-specific profile matrix required</x:v>
      </x:c>
      <x:c r="N173" s="98" t="str">
        <x:v>1.2 WD</x:v>
      </x:c>
      <x:c r="O173" s="98" t="str">
        <x:v>AERA-001-1.2WD-20260807.1</x:v>
      </x:c>
      <x:c r="P173" s="99" t="str">
        <x:v>Authoritative PDF Appendix A; generated from controlled source</x:v>
      </x:c>
    </x:row>
    <x:row r="174" ht="60" customHeight="1">
      <x:c r="A174" s="97" t="str">
        <x:v>AERA-PR-011</x:v>
      </x:c>
      <x:c r="B174" s="98" t="str">
        <x:v>PR</x:v>
      </x:c>
      <x:c r="C174" s="98" t="str">
        <x:v>For each CC-3 or CC-4 decision class, evidence or controls relied upon as independent SHALL have documented source, method, controller, administration, provider, software, network, power, supply-chain, and time-reference failure domains; correlated items SHALL NOT be counted as independent without an approved rationale and compensating controls.</x:v>
      </x:c>
      <x:c r="D174" s="98" t="str">
        <x:v>I, A, T</x:v>
      </x:c>
      <x:c r="E174" s="98" t="str">
        <x:v>PROPOSED</x:v>
      </x:c>
      <x:c r="F174" s="98" t="str">
        <x:v>1.1 RC1 or earlier - lineage pending</x:v>
      </x:c>
      <x:c r="G174" s="98" t="str"/>
      <x:c r="H174" s="98" t="str"/>
      <x:c r="I174" s="98" t="str"/>
      <x:c r="J174" s="98" t="str"/>
      <x:c r="K174" s="98" t="str"/>
      <x:c r="L174" s="98" t="str"/>
      <x:c r="M174" s="98" t="str">
        <x:v>UNDETERMINED - claim-specific profile matrix required</x:v>
      </x:c>
      <x:c r="N174" s="98" t="str">
        <x:v>1.2 WD</x:v>
      </x:c>
      <x:c r="O174" s="98" t="str">
        <x:v>AERA-001-1.2WD-20260807.1</x:v>
      </x:c>
      <x:c r="P174" s="99" t="str">
        <x:v>Authoritative PDF Appendix A; generated from controlled source</x:v>
      </x:c>
    </x:row>
    <x:row r="175" ht="60" customHeight="1">
      <x:c r="A175" s="97" t="str">
        <x:v>AERA-PR-012</x:v>
      </x:c>
      <x:c r="B175" s="98" t="str">
        <x:v>PR</x:v>
      </x:c>
      <x:c r="C175" s="98" t="str">
        <x:v>For every material decision transaction, the implementation SHALL retain a tamper-evident causal record that identifies who or what proposed, authorized, enforced, observed, overrode, or recovered the action; the evidence and policy used; the authorization and validity; and the observed result.</x:v>
      </x:c>
      <x:c r="D175" s="98" t="str">
        <x:v>I, T, D</x:v>
      </x:c>
      <x:c r="E175" s="98" t="str">
        <x:v>PROPOSED</x:v>
      </x:c>
      <x:c r="F175" s="98" t="str">
        <x:v>1.1 RC1 or earlier - lineage pending</x:v>
      </x:c>
      <x:c r="G175" s="98" t="str"/>
      <x:c r="H175" s="98" t="str"/>
      <x:c r="I175" s="98" t="str"/>
      <x:c r="J175" s="98" t="str"/>
      <x:c r="K175" s="98" t="str"/>
      <x:c r="L175" s="98" t="str"/>
      <x:c r="M175" s="98" t="str">
        <x:v>UNDETERMINED - claim-specific profile matrix required</x:v>
      </x:c>
      <x:c r="N175" s="98" t="str">
        <x:v>1.2 WD</x:v>
      </x:c>
      <x:c r="O175" s="98" t="str">
        <x:v>AERA-001-1.2WD-20260807.1</x:v>
      </x:c>
      <x:c r="P175" s="99" t="str">
        <x:v>Authoritative PDF Appendix A; generated from controlled source</x:v>
      </x:c>
    </x:row>
    <x:row r="176" ht="60" customHeight="1">
      <x:c r="A176" s="97" t="str">
        <x:v>AERA-Q-001</x:v>
      </x:c>
      <x:c r="B176" s="98" t="str">
        <x:v>Q</x:v>
      </x:c>
      <x:c r="C176" s="98" t="str">
        <x:v>A quantum-enabled decision service SHALL identify capability class, role/boundary, readiness, classical baseline, measured mission advantage, error/uncertainty, security assumptions, cost/dependencies, and exit criteria.</x:v>
      </x:c>
      <x:c r="D176" s="98" t="str">
        <x:v>I, A, T</x:v>
      </x:c>
      <x:c r="E176" s="98" t="str">
        <x:v>PROPOSED</x:v>
      </x:c>
      <x:c r="F176" s="98" t="str">
        <x:v>1.1 RC1 or earlier - lineage pending</x:v>
      </x:c>
      <x:c r="G176" s="98" t="str"/>
      <x:c r="H176" s="98" t="str"/>
      <x:c r="I176" s="98" t="str"/>
      <x:c r="J176" s="98" t="str"/>
      <x:c r="K176" s="98" t="str"/>
      <x:c r="L176" s="98" t="str"/>
      <x:c r="M176" s="98" t="str">
        <x:v>UNDETERMINED - claim-specific profile matrix required</x:v>
      </x:c>
      <x:c r="N176" s="98" t="str">
        <x:v>1.2 WD</x:v>
      </x:c>
      <x:c r="O176" s="98" t="str">
        <x:v>AERA-001-1.2WD-20260807.1</x:v>
      </x:c>
      <x:c r="P176" s="99" t="str">
        <x:v>Authoritative PDF Appendix A; generated from controlled source</x:v>
      </x:c>
    </x:row>
    <x:row r="177" ht="60" customHeight="1">
      <x:c r="A177" s="97" t="str">
        <x:v>AERA-Q-002</x:v>
      </x:c>
      <x:c r="B177" s="98" t="str">
        <x:v>Q</x:v>
      </x:c>
      <x:c r="C177" s="98" t="str">
        <x:v>A quantum-enabled service SHALL retain authenticated classical control, monitoring, and audit and provide validated classical fallback or explicit no-service state before material-effect use.</x:v>
      </x:c>
      <x:c r="D177" s="98" t="str">
        <x:v>A, T</x:v>
      </x:c>
      <x:c r="E177" s="98" t="str">
        <x:v>PROPOSED</x:v>
      </x:c>
      <x:c r="F177" s="98" t="str">
        <x:v>1.1 RC1 or earlier - lineage pending</x:v>
      </x:c>
      <x:c r="G177" s="98" t="str"/>
      <x:c r="H177" s="98" t="str"/>
      <x:c r="I177" s="98" t="str"/>
      <x:c r="J177" s="98" t="str"/>
      <x:c r="K177" s="98" t="str"/>
      <x:c r="L177" s="98" t="str"/>
      <x:c r="M177" s="98" t="str">
        <x:v>UNDETERMINED - claim-specific profile matrix required</x:v>
      </x:c>
      <x:c r="N177" s="98" t="str">
        <x:v>1.2 WD</x:v>
      </x:c>
      <x:c r="O177" s="98" t="str">
        <x:v>AERA-001-1.2WD-20260807.1</x:v>
      </x:c>
      <x:c r="P177" s="99" t="str">
        <x:v>Authoritative PDF Appendix A; generated from controlled source</x:v>
      </x:c>
    </x:row>
    <x:row r="178" ht="60" customHeight="1">
      <x:c r="A178" s="97" t="str">
        <x:v>AERA-REC-001</x:v>
      </x:c>
      <x:c r="B178" s="98" t="str">
        <x:v>REC</x:v>
      </x:c>
      <x:c r="C178" s="98" t="str">
        <x:v>Each material class SHALL define states, resources, authority, time bounds, irreversibility, and actions for arrest, containment, reversal, compensation, or manual transfer.</x:v>
      </x:c>
      <x:c r="D178" s="98" t="str">
        <x:v>I, A</x:v>
      </x:c>
      <x:c r="E178" s="98" t="str">
        <x:v>PROPOSED</x:v>
      </x:c>
      <x:c r="F178" s="98" t="str">
        <x:v>1.1 RC1 or earlier - lineage pending</x:v>
      </x:c>
      <x:c r="G178" s="98" t="str"/>
      <x:c r="H178" s="98" t="str"/>
      <x:c r="I178" s="98" t="str"/>
      <x:c r="J178" s="98" t="str"/>
      <x:c r="K178" s="98" t="str"/>
      <x:c r="L178" s="98" t="str"/>
      <x:c r="M178" s="98" t="str">
        <x:v>UNDETERMINED - claim-specific profile matrix required</x:v>
      </x:c>
      <x:c r="N178" s="98" t="str">
        <x:v>1.2 WD</x:v>
      </x:c>
      <x:c r="O178" s="98" t="str">
        <x:v>AERA-001-1.2WD-20260807.1</x:v>
      </x:c>
      <x:c r="P178" s="99" t="str">
        <x:v>Authoritative PDF Appendix A; generated from controlled source</x:v>
      </x:c>
    </x:row>
    <x:row r="179" ht="60" customHeight="1">
      <x:c r="A179" s="97" t="str">
        <x:v>AERA-REC-002</x:v>
      </x:c>
      <x:c r="B179" s="98" t="str">
        <x:v>REC</x:v>
      </x:c>
      <x:c r="C179" s="98" t="str">
        <x:v>Recovery, revocation, manual takeover, and state reconciliation SHALL be tested before production and after material change under credible fault/adversary conditions.</x:v>
      </x:c>
      <x:c r="D179" s="98" t="str">
        <x:v>T, D</x:v>
      </x:c>
      <x:c r="E179" s="98" t="str">
        <x:v>PROPOSED</x:v>
      </x:c>
      <x:c r="F179" s="98" t="str">
        <x:v>1.1 RC1 or earlier - lineage pending</x:v>
      </x:c>
      <x:c r="G179" s="98" t="str"/>
      <x:c r="H179" s="98" t="str"/>
      <x:c r="I179" s="98" t="str"/>
      <x:c r="J179" s="98" t="str"/>
      <x:c r="K179" s="98" t="str"/>
      <x:c r="L179" s="98" t="str"/>
      <x:c r="M179" s="98" t="str">
        <x:v>UNDETERMINED - claim-specific profile matrix required</x:v>
      </x:c>
      <x:c r="N179" s="98" t="str">
        <x:v>1.2 WD</x:v>
      </x:c>
      <x:c r="O179" s="98" t="str">
        <x:v>AERA-001-1.2WD-20260807.1</x:v>
      </x:c>
      <x:c r="P179" s="99" t="str">
        <x:v>Authoritative PDF Appendix A; generated from controlled source</x:v>
      </x:c>
    </x:row>
    <x:row r="180" ht="60" customHeight="1">
      <x:c r="A180" s="97" t="str">
        <x:v>AERA-REC-003</x:v>
      </x:c>
      <x:c r="B180" s="98" t="str">
        <x:v>REC</x:v>
      </x:c>
      <x:c r="C180" s="98" t="str">
        <x:v>Command issue/acknowledgment SHALL NOT prove effect; obtain consequence-appropriate effect evidence or mark unverified and inhibit dependent autonomous actions.</x:v>
      </x:c>
      <x:c r="D180" s="98" t="str">
        <x:v>A, T</x:v>
      </x:c>
      <x:c r="E180" s="98" t="str">
        <x:v>PROPOSED</x:v>
      </x:c>
      <x:c r="F180" s="98" t="str">
        <x:v>1.1 RC1 or earlier - lineage pending</x:v>
      </x:c>
      <x:c r="G180" s="98" t="str"/>
      <x:c r="H180" s="98" t="str"/>
      <x:c r="I180" s="98" t="str"/>
      <x:c r="J180" s="98" t="str"/>
      <x:c r="K180" s="98" t="str"/>
      <x:c r="L180" s="98" t="str"/>
      <x:c r="M180" s="98" t="str">
        <x:v>UNDETERMINED - claim-specific profile matrix required</x:v>
      </x:c>
      <x:c r="N180" s="98" t="str">
        <x:v>1.2 WD</x:v>
      </x:c>
      <x:c r="O180" s="98" t="str">
        <x:v>AERA-001-1.2WD-20260807.1</x:v>
      </x:c>
      <x:c r="P180" s="99" t="str">
        <x:v>Authoritative PDF Appendix A; generated from controlled source</x:v>
      </x:c>
    </x:row>
    <x:row r="181" ht="60" customHeight="1">
      <x:c r="A181" s="97" t="str">
        <x:v>AERA-THEORY-001</x:v>
      </x:c>
      <x:c r="B181" s="98" t="str">
        <x:v>THEORY</x:v>
      </x:c>
      <x:c r="C181" s="98" t="str">
        <x:v>Every autonomous action SHALL resolve to a valid authority delegation.</x:v>
      </x:c>
      <x:c r="D181" s="98" t="str">
        <x:v>I, A, T and/or D as consequence requires</x:v>
      </x:c>
      <x:c r="E181" s="98" t="str">
        <x:v>PROPOSED</x:v>
      </x:c>
      <x:c r="F181" s="98" t="str">
        <x:v>1.1 RC1 or earlier - lineage pending</x:v>
      </x:c>
      <x:c r="G181" s="98" t="str"/>
      <x:c r="H181" s="98" t="str"/>
      <x:c r="I181" s="98" t="str"/>
      <x:c r="J181" s="98" t="str"/>
      <x:c r="K181" s="98" t="str"/>
      <x:c r="L181" s="98" t="str"/>
      <x:c r="M181" s="98" t="str">
        <x:v>UNDETERMINED - claim-specific profile matrix required</x:v>
      </x:c>
      <x:c r="N181" s="98" t="str">
        <x:v>1.2 WD</x:v>
      </x:c>
      <x:c r="O181" s="98" t="str">
        <x:v>AERA-001-1.2WD-20260807.1</x:v>
      </x:c>
      <x:c r="P181" s="99" t="str">
        <x:v>Authoritative PDF Appendix A; generated from controlled source</x:v>
      </x:c>
    </x:row>
    <x:row r="182" ht="60" customHeight="1">
      <x:c r="A182" s="97" t="str">
        <x:v>AERA-THEORY-002</x:v>
      </x:c>
      <x:c r="B182" s="98" t="str">
        <x:v>THEORY</x:v>
      </x:c>
      <x:c r="C182" s="98" t="str">
        <x:v>Decision evaluation SHALL consider material cumulative effects when actions compose.</x:v>
      </x:c>
      <x:c r="D182" s="98" t="str">
        <x:v>I, A, T and/or D as consequence requires</x:v>
      </x:c>
      <x:c r="E182" s="98" t="str">
        <x:v>PROPOSED</x:v>
      </x:c>
      <x:c r="F182" s="98" t="str">
        <x:v>1.1 RC1 or earlier - lineage pending</x:v>
      </x:c>
      <x:c r="G182" s="98" t="str"/>
      <x:c r="H182" s="98" t="str"/>
      <x:c r="I182" s="98" t="str"/>
      <x:c r="J182" s="98" t="str"/>
      <x:c r="K182" s="98" t="str"/>
      <x:c r="L182" s="98" t="str"/>
      <x:c r="M182" s="98" t="str">
        <x:v>UNDETERMINED - claim-specific profile matrix required</x:v>
      </x:c>
      <x:c r="N182" s="98" t="str">
        <x:v>1.2 WD</x:v>
      </x:c>
      <x:c r="O182" s="98" t="str">
        <x:v>AERA-001-1.2WD-20260807.1</x:v>
      </x:c>
      <x:c r="P182" s="99" t="str">
        <x:v>Authoritative PDF Appendix A; generated from controlled source</x:v>
      </x:c>
    </x:row>
    <x:row r="183" ht="60" customHeight="1">
      <x:c r="A183" s="97" t="str">
        <x:v>AERA-THEORY-003</x:v>
      </x:c>
      <x:c r="B183" s="98" t="str">
        <x:v>THEORY</x:v>
      </x:c>
      <x:c r="C183" s="98" t="str">
        <x:v>Each decision class SHALL have an accountable human owner.</x:v>
      </x:c>
      <x:c r="D183" s="98" t="str">
        <x:v>I, A, T and/or D as consequence requires</x:v>
      </x:c>
      <x:c r="E183" s="98" t="str">
        <x:v>PROPOSED</x:v>
      </x:c>
      <x:c r="F183" s="98" t="str">
        <x:v>1.1 RC1 or earlier - lineage pending</x:v>
      </x:c>
      <x:c r="G183" s="98" t="str"/>
      <x:c r="H183" s="98" t="str"/>
      <x:c r="I183" s="98" t="str"/>
      <x:c r="J183" s="98" t="str"/>
      <x:c r="K183" s="98" t="str"/>
      <x:c r="L183" s="98" t="str"/>
      <x:c r="M183" s="98" t="str">
        <x:v>UNDETERMINED - claim-specific profile matrix required</x:v>
      </x:c>
      <x:c r="N183" s="98" t="str">
        <x:v>1.2 WD</x:v>
      </x:c>
      <x:c r="O183" s="98" t="str">
        <x:v>AERA-001-1.2WD-20260807.1</x:v>
      </x:c>
      <x:c r="P183" s="99" t="str">
        <x:v>Authoritative PDF Appendix A; generated from controlled source</x:v>
      </x:c>
    </x:row>
    <x:row r="184" ht="60" customHeight="1">
      <x:c r="A184" s="97" t="str">
        <x:v>AERA-THR-001</x:v>
      </x:c>
      <x:c r="B184" s="98" t="str">
        <x:v>THR</x:v>
      </x:c>
      <x:c r="C184" s="98" t="str">
        <x:v>When an authenticated evidence source can remain credential-valid after compromise, the implementation SHALL apply consequence-appropriate challenge, corroboration, or plausibility analysis before relying on that source for a material effect.</x:v>
      </x:c>
      <x:c r="D184" s="98" t="str">
        <x:v>A, T</x:v>
      </x:c>
      <x:c r="E184" s="98" t="str">
        <x:v>PROPOSED</x:v>
      </x:c>
      <x:c r="F184" s="98" t="str">
        <x:v>1.1 RC1 or earlier - lineage pending</x:v>
      </x:c>
      <x:c r="G184" s="98" t="str"/>
      <x:c r="H184" s="98" t="str"/>
      <x:c r="I184" s="98" t="str"/>
      <x:c r="J184" s="98" t="str"/>
      <x:c r="K184" s="98" t="str"/>
      <x:c r="L184" s="98" t="str"/>
      <x:c r="M184" s="98" t="str">
        <x:v>UNDETERMINED - claim-specific profile matrix required</x:v>
      </x:c>
      <x:c r="N184" s="98" t="str">
        <x:v>1.2 WD</x:v>
      </x:c>
      <x:c r="O184" s="98" t="str">
        <x:v>AERA-001-1.2WD-20260807.1</x:v>
      </x:c>
      <x:c r="P184" s="99" t="str">
        <x:v>Authoritative PDF Appendix A; generated from controlled source</x:v>
      </x:c>
    </x:row>
    <x:row r="185" ht="60" customHeight="1">
      <x:c r="A185" s="97" t="str">
        <x:v>AERA-THR-002</x:v>
      </x:c>
      <x:c r="B185" s="98" t="str">
        <x:v>THR</x:v>
      </x:c>
      <x:c r="C185" s="98" t="str">
        <x:v>Each cross-domain or delegated service hop SHALL preserve and validate the original initiator, delegation chain, purpose, consequence context, and requested effect before exercising target-domain authority.</x:v>
      </x:c>
      <x:c r="D185" s="98" t="str">
        <x:v>I, A, T</x:v>
      </x:c>
      <x:c r="E185" s="98" t="str">
        <x:v>PROPOSED</x:v>
      </x:c>
      <x:c r="F185" s="98" t="str">
        <x:v>1.1 RC1 or earlier - lineage pending</x:v>
      </x:c>
      <x:c r="G185" s="98" t="str"/>
      <x:c r="H185" s="98" t="str"/>
      <x:c r="I185" s="98" t="str"/>
      <x:c r="J185" s="98" t="str"/>
      <x:c r="K185" s="98" t="str"/>
      <x:c r="L185" s="98" t="str"/>
      <x:c r="M185" s="98" t="str">
        <x:v>UNDETERMINED - claim-specific profile matrix required</x:v>
      </x:c>
      <x:c r="N185" s="98" t="str">
        <x:v>1.2 WD</x:v>
      </x:c>
      <x:c r="O185" s="98" t="str">
        <x:v>AERA-001-1.2WD-20260807.1</x:v>
      </x:c>
      <x:c r="P185" s="99" t="str">
        <x:v>Authoritative PDF Appendix A; generated from controlled source</x:v>
      </x:c>
    </x:row>
    <x:row r="186" ht="60" customHeight="1">
      <x:c r="A186" s="97" t="str">
        <x:v>AERA-THR-003</x:v>
      </x:c>
      <x:c r="B186" s="98" t="str">
        <x:v>THR</x:v>
      </x:c>
      <x:c r="C186" s="98" t="str">
        <x:v>The Decision Assurance Fabric SHALL define capacity objectives and saturation thresholds, detect bypass and denial-of-assurance conditions, and invoke consequence-specific throttling or non-permit behavior before overload can become implicit authorization.</x:v>
      </x:c>
      <x:c r="D186" s="98" t="str">
        <x:v>I, A, T</x:v>
      </x:c>
      <x:c r="E186" s="98" t="str">
        <x:v>PROPOSED</x:v>
      </x:c>
      <x:c r="F186" s="98" t="str">
        <x:v>1.1 RC1 or earlier - lineage pending</x:v>
      </x:c>
      <x:c r="G186" s="98" t="str"/>
      <x:c r="H186" s="98" t="str"/>
      <x:c r="I186" s="98" t="str"/>
      <x:c r="J186" s="98" t="str"/>
      <x:c r="K186" s="98" t="str"/>
      <x:c r="L186" s="98" t="str"/>
      <x:c r="M186" s="98" t="str">
        <x:v>UNDETERMINED - claim-specific profile matrix required</x:v>
      </x:c>
      <x:c r="N186" s="98" t="str">
        <x:v>1.2 WD</x:v>
      </x:c>
      <x:c r="O186" s="98" t="str">
        <x:v>AERA-001-1.2WD-20260807.1</x:v>
      </x:c>
      <x:c r="P186" s="99" t="str">
        <x:v>Authoritative PDF Appendix A; generated from controlled source</x:v>
      </x:c>
    </x:row>
    <x:row r="187" ht="60" customHeight="1">
      <x:c r="A187" s="97" t="str">
        <x:v>AERA-THR-004</x:v>
      </x:c>
      <x:c r="B187" s="98" t="str">
        <x:v>THR</x:v>
      </x:c>
      <x:c r="C187" s="98" t="str">
        <x:v>Distributed enforcement points SHALL use monotonic policy and state updates, acknowledgement, deduplication, idempotent effect semantics, and distributed use accounting where duplicate or reordered execution could create a material effect.</x:v>
      </x:c>
      <x:c r="D187" s="98" t="str">
        <x:v>I, A, T</x:v>
      </x:c>
      <x:c r="E187" s="98" t="str">
        <x:v>PROPOSED</x:v>
      </x:c>
      <x:c r="F187" s="98" t="str">
        <x:v>1.1 RC1 or earlier - lineage pending</x:v>
      </x:c>
      <x:c r="G187" s="98" t="str"/>
      <x:c r="H187" s="98" t="str"/>
      <x:c r="I187" s="98" t="str"/>
      <x:c r="J187" s="98" t="str"/>
      <x:c r="K187" s="98" t="str"/>
      <x:c r="L187" s="98" t="str"/>
      <x:c r="M187" s="98" t="str">
        <x:v>UNDETERMINED - claim-specific profile matrix required</x:v>
      </x:c>
      <x:c r="N187" s="98" t="str">
        <x:v>1.2 WD</x:v>
      </x:c>
      <x:c r="O187" s="98" t="str">
        <x:v>AERA-001-1.2WD-20260807.1</x:v>
      </x:c>
      <x:c r="P187" s="99" t="str">
        <x:v>Authoritative PDF Appendix A; generated from controlled source</x:v>
      </x:c>
    </x:row>
    <x:row r="188" ht="60" customHeight="1">
      <x:c r="A188" s="97" t="str">
        <x:v>AERA-THR-005</x:v>
      </x:c>
      <x:c r="B188" s="98" t="str">
        <x:v>THR</x:v>
      </x:c>
      <x:c r="C188" s="98" t="str">
        <x:v>Audit evidence for high-consequence decision classes SHALL use independent replication or an equivalent survivability mechanism and SHALL detect omission, deletion, reordering, retiming, or incomplete causal chains.</x:v>
      </x:c>
      <x:c r="D188" s="98" t="str">
        <x:v>I, A, T</x:v>
      </x:c>
      <x:c r="E188" s="98" t="str">
        <x:v>PROPOSED</x:v>
      </x:c>
      <x:c r="F188" s="98" t="str">
        <x:v>1.1 RC1 or earlier - lineage pending</x:v>
      </x:c>
      <x:c r="G188" s="98" t="str"/>
      <x:c r="H188" s="98" t="str"/>
      <x:c r="I188" s="98" t="str"/>
      <x:c r="J188" s="98" t="str"/>
      <x:c r="K188" s="98" t="str"/>
      <x:c r="L188" s="98" t="str"/>
      <x:c r="M188" s="98" t="str">
        <x:v>UNDETERMINED - claim-specific profile matrix required</x:v>
      </x:c>
      <x:c r="N188" s="98" t="str">
        <x:v>1.2 WD</x:v>
      </x:c>
      <x:c r="O188" s="98" t="str">
        <x:v>AERA-001-1.2WD-20260807.1</x:v>
      </x:c>
      <x:c r="P188" s="99" t="str">
        <x:v>Authoritative PDF Appendix A; generated from controlled source</x:v>
      </x:c>
    </x:row>
    <x:row r="189" ht="60" customHeight="1">
      <x:c r="A189" s="97" t="str">
        <x:v>AERA-THR-006</x:v>
      </x:c>
      <x:c r="B189" s="98" t="str">
        <x:v>THR</x:v>
      </x:c>
      <x:c r="C189" s="98" t="str">
        <x:v>Human-oversight mechanisms SHALL define workload limits, consequence-prioritized queues, review-time and usability criteria, saturation detection, safe throttling, and timeout behavior that cannot convert absent review into permission.</x:v>
      </x:c>
      <x:c r="D189" s="98" t="str">
        <x:v>I, A, T, D</x:v>
      </x:c>
      <x:c r="E189" s="98" t="str">
        <x:v>PROPOSED</x:v>
      </x:c>
      <x:c r="F189" s="98" t="str">
        <x:v>1.1 RC1 or earlier - lineage pending</x:v>
      </x:c>
      <x:c r="G189" s="98" t="str"/>
      <x:c r="H189" s="98" t="str"/>
      <x:c r="I189" s="98" t="str"/>
      <x:c r="J189" s="98" t="str"/>
      <x:c r="K189" s="98" t="str"/>
      <x:c r="L189" s="98" t="str"/>
      <x:c r="M189" s="98" t="str">
        <x:v>UNDETERMINED - claim-specific profile matrix required</x:v>
      </x:c>
      <x:c r="N189" s="98" t="str">
        <x:v>1.2 WD</x:v>
      </x:c>
      <x:c r="O189" s="98" t="str">
        <x:v>AERA-001-1.2WD-20260807.1</x:v>
      </x:c>
      <x:c r="P189" s="99" t="str">
        <x:v>Authoritative PDF Appendix A; generated from controlled source</x:v>
      </x:c>
    </x:row>
    <x:row r="190" ht="60" customHeight="1">
      <x:c r="A190" s="97" t="str">
        <x:v>AERA-VV-001</x:v>
      </x:c>
      <x:c r="B190" s="98" t="str">
        <x:v>VV</x:v>
      </x:c>
      <x:c r="C190" s="98" t="str">
        <x:v>Before formal validation begins, the accountable validation authority SHALL approve the decision class, configurations, operating environments, acceptance criteria, measures, uncertainty treatment, thresholds, failure conditions, and required evidence.</x:v>
      </x:c>
      <x:c r="D190" s="98" t="str">
        <x:v>I</x:v>
      </x:c>
      <x:c r="E190" s="98" t="str">
        <x:v>PROPOSED</x:v>
      </x:c>
      <x:c r="F190" s="98" t="str">
        <x:v>1.1 RC1 or earlier - lineage pending</x:v>
      </x:c>
      <x:c r="G190" s="98" t="str"/>
      <x:c r="H190" s="98" t="str"/>
      <x:c r="I190" s="98" t="str"/>
      <x:c r="J190" s="98" t="str"/>
      <x:c r="K190" s="98" t="str"/>
      <x:c r="L190" s="98" t="str"/>
      <x:c r="M190" s="98" t="str">
        <x:v>UNDETERMINED - claim-specific profile matrix required</x:v>
      </x:c>
      <x:c r="N190" s="98" t="str">
        <x:v>1.2 WD</x:v>
      </x:c>
      <x:c r="O190" s="98" t="str">
        <x:v>AERA-001-1.2WD-20260807.1</x:v>
      </x:c>
      <x:c r="P190" s="99" t="str">
        <x:v>Authoritative PDF Appendix A; generated from controlled source</x:v>
      </x:c>
    </x:row>
    <x:row r="191" ht="60" customHeight="1">
      <x:c r="A191" s="97" t="str">
        <x:v>AERA-VV-002</x:v>
      </x:c>
      <x:c r="B191" s="98" t="str">
        <x:v>VV</x:v>
      </x:c>
      <x:c r="C191" s="98" t="str">
        <x:v>Validation of each material decision class SHALL include all applicable representative, boundary, adversarial, degraded, partitioned, common-mode, contradictory or stale evidence, identity, authority, policy, PNT, communications, tool or model, enforcement-bypass, recovery, and rollback conditions.</x:v>
      </x:c>
      <x:c r="D191" s="98" t="str">
        <x:v>I, T</x:v>
      </x:c>
      <x:c r="E191" s="98" t="str">
        <x:v>PROPOSED</x:v>
      </x:c>
      <x:c r="F191" s="98" t="str">
        <x:v>1.1 RC1 or earlier - lineage pending</x:v>
      </x:c>
      <x:c r="G191" s="98" t="str"/>
      <x:c r="H191" s="98" t="str"/>
      <x:c r="I191" s="98" t="str"/>
      <x:c r="J191" s="98" t="str"/>
      <x:c r="K191" s="98" t="str"/>
      <x:c r="L191" s="98" t="str"/>
      <x:c r="M191" s="98" t="str">
        <x:v>UNDETERMINED - claim-specific profile matrix required</x:v>
      </x:c>
      <x:c r="N191" s="98" t="str">
        <x:v>1.2 WD</x:v>
      </x:c>
      <x:c r="O191" s="98" t="str">
        <x:v>AERA-001-1.2WD-20260807.1</x:v>
      </x:c>
      <x:c r="P191" s="99" t="str">
        <x:v>Authoritative PDF Appendix A; generated from controlled source</x:v>
      </x:c>
    </x:row>
    <x:row r="192" ht="60" customHeight="1">
      <x:c r="A192" s="97" t="str">
        <x:v>AERA-VV-003</x:v>
      </x:c>
      <x:c r="B192" s="98" t="str">
        <x:v>VV</x:v>
      </x:c>
      <x:c r="C192" s="98" t="str">
        <x:v>Each CC-3 or CC-4 decision class SHALL maintain a configuration-bound assurance case that states the top claim, scope and context, assumptions, argument, subclaims, evidence, rebuttals, limitations, residual risk, validity, monitoring, and reassessment triggers.</x:v>
      </x:c>
      <x:c r="D192" s="98" t="str">
        <x:v>I, A</x:v>
      </x:c>
      <x:c r="E192" s="98" t="str">
        <x:v>PROPOSED</x:v>
      </x:c>
      <x:c r="F192" s="98" t="str">
        <x:v>1.1 RC1 or earlier - lineage pending</x:v>
      </x:c>
      <x:c r="G192" s="98" t="str"/>
      <x:c r="H192" s="98" t="str"/>
      <x:c r="I192" s="98" t="str"/>
      <x:c r="J192" s="98" t="str"/>
      <x:c r="K192" s="98" t="str"/>
      <x:c r="L192" s="98" t="str"/>
      <x:c r="M192" s="98" t="str">
        <x:v>UNDETERMINED - claim-specific profile matrix required</x:v>
      </x:c>
      <x:c r="N192" s="98" t="str">
        <x:v>1.2 WD</x:v>
      </x:c>
      <x:c r="O192" s="98" t="str">
        <x:v>AERA-001-1.2WD-20260807.1</x:v>
      </x:c>
      <x:c r="P192" s="99" t="str">
        <x:v>Authoritative PDF Appendix A; generated from controlled source</x:v>
      </x:c>
    </x:row>
    <x:row r="193" ht="60" customHeight="1">
      <x:c r="A193" s="97" t="str">
        <x:v>AERA-VV-004</x:v>
      </x:c>
      <x:c r="B193" s="98" t="str">
        <x:v>VV</x:v>
      </x:c>
      <x:c r="C193" s="98" t="str">
        <x:v>The accountable authority SHALL approve the assurance case for each CC-3 or CC-4 decision class before production authority is granted and after any material change that invalidates a claim or item of evidence.</x:v>
      </x:c>
      <x:c r="D193" s="98" t="str">
        <x:v>I, A</x:v>
      </x:c>
      <x:c r="E193" s="98" t="str">
        <x:v>PROPOSED</x:v>
      </x:c>
      <x:c r="F193" s="98" t="str">
        <x:v>1.1 RC1 or earlier - lineage pending</x:v>
      </x:c>
      <x:c r="G193" s="98" t="str"/>
      <x:c r="H193" s="98" t="str"/>
      <x:c r="I193" s="98" t="str"/>
      <x:c r="J193" s="98" t="str"/>
      <x:c r="K193" s="98" t="str"/>
      <x:c r="L193" s="98" t="str"/>
      <x:c r="M193" s="98" t="str">
        <x:v>UNDETERMINED - claim-specific profile matrix required</x:v>
      </x:c>
      <x:c r="N193" s="98" t="str">
        <x:v>1.2 WD</x:v>
      </x:c>
      <x:c r="O193" s="98" t="str">
        <x:v>AERA-001-1.2WD-20260807.1</x:v>
      </x:c>
      <x:c r="P193" s="99" t="str">
        <x:v>Authoritative PDF Appendix A; generated from controlled source</x:v>
      </x:c>
    </x:row>
    <x:row r="194" ht="60" customHeight="1">
      <x:c r="A194" s="97" t="str">
        <x:v>AERA-VV-005</x:v>
      </x:c>
      <x:c r="B194" s="98" t="str">
        <x:v>VV</x:v>
      </x:c>
      <x:c r="C194" s="98" t="str">
        <x:v>Each formal test SHALL define a decision oracle, expected result, tolerance, treatment of indeterminate outcomes, and defect-disposition rule before execution.</x:v>
      </x:c>
      <x:c r="D194" s="98" t="str">
        <x:v>I, A</x:v>
      </x:c>
      <x:c r="E194" s="98" t="str">
        <x:v>PROPOSED</x:v>
      </x:c>
      <x:c r="F194" s="98" t="str">
        <x:v>1.1 RC1 or earlier - lineage pending</x:v>
      </x:c>
      <x:c r="G194" s="98" t="str"/>
      <x:c r="H194" s="98" t="str"/>
      <x:c r="I194" s="98" t="str"/>
      <x:c r="J194" s="98" t="str"/>
      <x:c r="K194" s="98" t="str"/>
      <x:c r="L194" s="98" t="str"/>
      <x:c r="M194" s="98" t="str">
        <x:v>UNDETERMINED - claim-specific profile matrix required</x:v>
      </x:c>
      <x:c r="N194" s="98" t="str">
        <x:v>1.2 WD</x:v>
      </x:c>
      <x:c r="O194" s="98" t="str">
        <x:v>AERA-001-1.2WD-20260807.1</x:v>
      </x:c>
      <x:c r="P194" s="99" t="str">
        <x:v>Authoritative PDF Appendix A; generated from controlled source</x:v>
      </x:c>
    </x:row>
    <x:row r="195" ht="60" customHeight="1">
      <x:c r="A195" s="97" t="str">
        <x:v>AERA-VV-006</x:v>
      </x:c>
      <x:c r="B195" s="98" t="str">
        <x:v>VV</x:v>
      </x:c>
      <x:c r="C195" s="98" t="str">
        <x:v>A validation campaign SHALL predeclare coverage, sampling basis, sample size or stopping rule, statistical or epistemic uncertainty treatment, environment and configuration, and limits on inference to the claimed decision population.</x:v>
      </x:c>
      <x:c r="D195" s="98" t="str">
        <x:v>I, A, T</x:v>
      </x:c>
      <x:c r="E195" s="98" t="str">
        <x:v>PROPOSED</x:v>
      </x:c>
      <x:c r="F195" s="98" t="str">
        <x:v>1.1 RC1 or earlier - lineage pending</x:v>
      </x:c>
      <x:c r="G195" s="98" t="str"/>
      <x:c r="H195" s="98" t="str"/>
      <x:c r="I195" s="98" t="str"/>
      <x:c r="J195" s="98" t="str"/>
      <x:c r="K195" s="98" t="str"/>
      <x:c r="L195" s="98" t="str"/>
      <x:c r="M195" s="98" t="str">
        <x:v>UNDETERMINED - claim-specific profile matrix required</x:v>
      </x:c>
      <x:c r="N195" s="98" t="str">
        <x:v>1.2 WD</x:v>
      </x:c>
      <x:c r="O195" s="98" t="str">
        <x:v>AERA-001-1.2WD-20260807.1</x:v>
      </x:c>
      <x:c r="P195" s="99" t="str">
        <x:v>Authoritative PDF Appendix A; generated from controlled source</x:v>
      </x:c>
    </x:row>
    <x:row r="196" ht="60" customHeight="1">
      <x:c r="A196" s="97" t="str">
        <x:v>AERA-VV-007</x:v>
      </x:c>
      <x:c r="B196" s="98" t="str">
        <x:v>VV</x:v>
      </x:c>
      <x:c r="C196" s="98" t="str">
        <x:v>Each active normative requirement SHALL reference at least one profile- and consequence-specific verification procedure; a requirement lacking an approved procedure or sufficient current evidence SHALL be assessed INDETERMINATE rather than SATISFIED.</x:v>
      </x:c>
      <x:c r="D196" s="98" t="str">
        <x:v>I, A</x:v>
      </x:c>
      <x:c r="E196" s="98" t="str">
        <x:v>PROPOSED</x:v>
      </x:c>
      <x:c r="F196" s="98" t="str">
        <x:v>1.2 WD</x:v>
      </x:c>
      <x:c r="G196" s="98" t="str"/>
      <x:c r="H196" s="98" t="str"/>
      <x:c r="I196" s="98" t="str"/>
      <x:c r="J196" s="98" t="str"/>
      <x:c r="K196" s="98" t="str"/>
      <x:c r="L196" s="98" t="str"/>
      <x:c r="M196" s="98" t="str">
        <x:v>UNDETERMINED - claim-specific profile matrix required</x:v>
      </x:c>
      <x:c r="N196" s="98" t="str">
        <x:v>1.2 WD</x:v>
      </x:c>
      <x:c r="O196" s="98" t="str">
        <x:v>AERA-001-1.2WD-20260807.1</x:v>
      </x:c>
      <x:c r="P196" s="99" t="str">
        <x:v>Authoritative PDF Appendix A; generated from controlled source</x:v>
      </x:c>
    </x:row>
    <x:row r="197" ht="60" customHeight="1">
      <x:c r="A197" s="97" t="str">
        <x:v>AERA-XW-001</x:v>
      </x:c>
      <x:c r="B197" s="98" t="str">
        <x:v>XW</x:v>
      </x:c>
      <x:c r="C197" s="98" t="str">
        <x:v>Every external mapping SHALL identify the official source, publication status, version or release, access date, and mapping direction.</x:v>
      </x:c>
      <x:c r="D197" s="98" t="str">
        <x:v>Crosswalk metadata; source register; sampled URL and version verification.</x:v>
      </x:c>
      <x:c r="E197" s="98" t="str">
        <x:v>PROPOSED</x:v>
      </x:c>
      <x:c r="F197" s="98" t="str">
        <x:v>1.1 RC1 or earlier - lineage pending</x:v>
      </x:c>
      <x:c r="G197" s="98" t="str"/>
      <x:c r="H197" s="98" t="str"/>
      <x:c r="I197" s="98" t="str"/>
      <x:c r="J197" s="98" t="str"/>
      <x:c r="K197" s="98" t="str"/>
      <x:c r="L197" s="98" t="str"/>
      <x:c r="M197" s="98" t="str">
        <x:v>UNDETERMINED - claim-specific profile matrix required</x:v>
      </x:c>
      <x:c r="N197" s="98" t="str">
        <x:v>1.2 WD</x:v>
      </x:c>
      <x:c r="O197" s="98" t="str">
        <x:v>AERA-001-1.2WD-20260807.1</x:v>
      </x:c>
      <x:c r="P197" s="99" t="str">
        <x:v>Authoritative PDF Appendix A; generated from controlled source</x:v>
      </x:c>
    </x:row>
    <x:row r="198" ht="60" customHeight="1">
      <x:c r="A198" s="97" t="str">
        <x:v>AERA-XW-002</x:v>
      </x:c>
      <x:c r="B198" s="98" t="str">
        <x:v>XW</x:v>
      </x:c>
      <x:c r="C198" s="98" t="str">
        <x:v>An AERA conformance claim SHALL NOT be inferred from external certification, authorization, maturity, or framework alignment, and an AERA assessment SHALL NOT be represented as satisfying an external obligation without an independent assessment against that source.</x:v>
      </x:c>
      <x:c r="D198" s="98" t="str">
        <x:v>Claim-language review; assessment scope; communications approval.</x:v>
      </x:c>
      <x:c r="E198" s="98" t="str">
        <x:v>PROPOSED</x:v>
      </x:c>
      <x:c r="F198" s="98" t="str">
        <x:v>1.1 RC1 or earlier - lineage pending</x:v>
      </x:c>
      <x:c r="G198" s="98" t="str"/>
      <x:c r="H198" s="98" t="str"/>
      <x:c r="I198" s="98" t="str"/>
      <x:c r="J198" s="98" t="str"/>
      <x:c r="K198" s="98" t="str"/>
      <x:c r="L198" s="98" t="str"/>
      <x:c r="M198" s="98" t="str">
        <x:v>UNDETERMINED - claim-specific profile matrix required</x:v>
      </x:c>
      <x:c r="N198" s="98" t="str">
        <x:v>1.2 WD</x:v>
      </x:c>
      <x:c r="O198" s="98" t="str">
        <x:v>AERA-001-1.2WD-20260807.1</x:v>
      </x:c>
      <x:c r="P198" s="99" t="str">
        <x:v>Authoritative PDF Appendix A; generated from controlled source</x:v>
      </x:c>
    </x:row>
    <x:row r="199" ht="60" customHeight="1">
      <x:c r="A199" s="97" t="str">
        <x:v>AERA-XW-003</x:v>
      </x:c>
      <x:c r="B199" s="98" t="str">
        <x:v>XW</x:v>
      </x:c>
      <x:c r="C199" s="98" t="str">
        <x:v>External evidence SHALL be reused only when the asset, decision class, control implementation, operating context, assessment period, evidence integrity, and assurance level are shown to match the AERA claim.</x:v>
      </x:c>
      <x:c r="D199" s="98" t="str">
        <x:v>Evidence-reuse determination; scope comparison; assessor approval.</x:v>
      </x:c>
      <x:c r="E199" s="98" t="str">
        <x:v>PROPOSED</x:v>
      </x:c>
      <x:c r="F199" s="98" t="str">
        <x:v>1.1 RC1 or earlier - lineage pending</x:v>
      </x:c>
      <x:c r="G199" s="98" t="str"/>
      <x:c r="H199" s="98" t="str"/>
      <x:c r="I199" s="98" t="str"/>
      <x:c r="J199" s="98" t="str"/>
      <x:c r="K199" s="98" t="str"/>
      <x:c r="L199" s="98" t="str"/>
      <x:c r="M199" s="98" t="str">
        <x:v>UNDETERMINED - claim-specific profile matrix required</x:v>
      </x:c>
      <x:c r="N199" s="98" t="str">
        <x:v>1.2 WD</x:v>
      </x:c>
      <x:c r="O199" s="98" t="str">
        <x:v>AERA-001-1.2WD-20260807.1</x:v>
      </x:c>
      <x:c r="P199" s="99" t="str">
        <x:v>Authoritative PDF Appendix A; generated from controlled source</x:v>
      </x:c>
    </x:row>
    <x:row r="200" ht="60" customHeight="1">
      <x:c r="A200" s="100" t="str">
        <x:v>AERA-XW-004</x:v>
      </x:c>
      <x:c r="B200" s="101" t="str">
        <x:v>XW</x:v>
      </x:c>
      <x:c r="C200" s="101" t="str">
        <x:v>Mappings SHALL be reviewed when AERA changes, an external source is revised or superseded, applicable law or policy changes, or operational evidence reveals a semantic gap.</x:v>
      </x:c>
      <x:c r="D200" s="101" t="str">
        <x:v>Change-monitoring record; mapping review log; retired mapping history.</x:v>
      </x:c>
      <x:c r="E200" s="101" t="str">
        <x:v>PROPOSED</x:v>
      </x:c>
      <x:c r="F200" s="101" t="str">
        <x:v>1.1 RC1 or earlier - lineage pending</x:v>
      </x:c>
      <x:c r="G200" s="101" t="str"/>
      <x:c r="H200" s="101" t="str"/>
      <x:c r="I200" s="101" t="str"/>
      <x:c r="J200" s="101" t="str"/>
      <x:c r="K200" s="101" t="str"/>
      <x:c r="L200" s="101" t="str"/>
      <x:c r="M200" s="101" t="str">
        <x:v>UNDETERMINED - claim-specific profile matrix required</x:v>
      </x:c>
      <x:c r="N200" s="101" t="str">
        <x:v>1.2 WD</x:v>
      </x:c>
      <x:c r="O200" s="101" t="str">
        <x:v>AERA-001-1.2WD-20260807.1</x:v>
      </x:c>
      <x:c r="P200" s="102" t="str">
        <x:v>Authoritative PDF Appendix A; generated from controlled source</x:v>
      </x:c>
    </x:row>
  </x:sheetData>
  <x:pageMargins left="0.7" right="0.7" top="0.75" bottom="0.75" header="0.3" footer="0.3"/>
  <x:tableParts count="1">
    <x:tablePart xmlns:r="http://schemas.openxmlformats.org/officeDocument/2006/relationships" r:id="R7d9b9f93374c499c"/>
  </x:tableParts>
</x:worksheet>
</file>

<file path=xl/worksheets/sheet5.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82" hidden="0" customWidth="1"/>
    <x:col min="5" max="5" width="82" hidden="0" customWidth="1"/>
    <x:col min="6" max="6" width="82" hidden="0" customWidth="1"/>
  </x:cols>
  <x:sheetData>
    <x:row r="1" ht="30" customHeight="1">
      <x:c r="A1" s="124" t="str">
        <x:v>﻿Threat ID</x:v>
      </x:c>
      <x:c r="B1" s="125" t="str">
        <x:v>Threat</x:v>
      </x:c>
      <x:c r="C1" s="125" t="str">
        <x:v>Primary AERA requirements</x:v>
      </x:c>
      <x:c r="D1" s="125" t="str">
        <x:v>Prevention / detection / containment / recovery focus</x:v>
      </x:c>
      <x:c r="E1" s="125" t="str">
        <x:v>Representative negative test</x:v>
      </x:c>
      <x:c r="F1" s="126" t="str">
        <x:v>Expected evidence</x:v>
      </x:c>
    </x:row>
    <x:row r="2" ht="100" customHeight="1">
      <x:c r="A2" s="97" t="str">
        <x:v>DAT-01</x:v>
      </x:c>
      <x:c r="B2" s="98" t="str">
        <x:v>Authority forgery</x:v>
      </x:c>
      <x:c r="C2" s="98" t="str">
        <x:v>AERA-DA-001, AERA-DA-002, AERA-DA-003, AERA-DA-006, AERA-AUTH-101, AERA-AUTH-107, AERA-DA-033</x:v>
      </x:c>
      <x:c r="D2" s="98" t="str">
        <x:v>P: Validate grant integrity, issuer authority, scope, and chain to an approved trust anchor; separate grant, authorization, and enforcement roles. D: Detect invalid issuer, anchor, integrity, scope, or authorization-state changes. C: Reject or quarantine the forged grant and invalidate dependent authorization. R: Re-establish authority from a known-good root and reconcile any initiated effect.</x:v>
      </x:c>
      <x:c r="E2" s="98" t="str">
        <x:v>Submit a well-formed, correctly signed grant whose signer is authenticated but lacks authority to grant the requested decision class; attempt the effect through both the normal DAF path and the effect interface. Expected result: no permit and no effect.</x:v>
      </x:c>
      <x:c r="F2" s="99" t="str">
        <x:v>Approved trust-anchor and accountable-authority inventory; delegation schema; chain-validation trace; role-separation matrix; negative grant cases; enforcement denial receipt; revocation or quarantine record; effect-observation record showing no unauthorized effect.</x:v>
      </x:c>
    </x:row>
    <x:row r="3" ht="100" customHeight="1">
      <x:c r="A3" s="97" t="str">
        <x:v>DAT-02</x:v>
      </x:c>
      <x:c r="B3" s="98" t="str">
        <x:v>Delegation-chain corruption</x:v>
      </x:c>
      <x:c r="C3" s="98" t="str">
        <x:v>AERA-DA-002, AERA-DA-003, AERA-DA-005, AERA-AUTH-105, AERA-AUTH-107, AERA-AUTH-108, AERA-DA-031</x:v>
      </x:c>
      <x:c r="D3" s="98" t="str">
        <x:v>P: Require immutable parent references, complete-chain validation, attenuation, and deny precedence. D: Identify missing, reordered, substituted, ambiguous, or unauthorized parents during validation and reconstruction. C: Reject the chain and invalidate descendants. R: Reissue or re-resolve the chain from approved records and reassess affected transactions.</x:v>
      </x:c>
      <x:c r="E3" s="98" t="str">
        <x:v>Remove an intermediate parent, reorder two parents, and substitute a valid grant rooted in the wrong authority domain. Expected result: all variants are rejected before authorization and are distinguishable in the audit record.</x:v>
      </x:c>
      <x:c r="F3" s="99" t="str">
        <x:v>Trust-anchor inventory; parent-reference and chain-validation logs; malformed-chain corpus and results; precedence tests; descendant invalidation evidence; causal reconstruction showing the exact fault.</x:v>
      </x:c>
    </x:row>
    <x:row r="4" ht="100" customHeight="1">
      <x:c r="A4" s="97" t="str">
        <x:v>DAT-03</x:v>
      </x:c>
      <x:c r="B4" s="98" t="str">
        <x:v>Authority laundering / covert subdelegation</x:v>
      </x:c>
      <x:c r="C4" s="98" t="str">
        <x:v>AERA-DA-002, AERA-DA-003, AERA-DA-004, AERA-DA-007, AERA-DA-022, AERA-DA-028, AERA-DA-031</x:v>
      </x:c>
      <x:c r="D4" s="98" t="str">
        <x:v>P: Deny subdelegation by default; require derived-grant attenuation; bind downstream actor, tool, target, effect, and expiry; deny direct effect access. D: Preserve transitive actor, tool, and grant attribution. C: Reject the derived request, revoke or quarantine dependent credentials, and block the effect path. R: Restore operation using an explicitly approved attenuated grant.</x:v>
      </x:c>
      <x:c r="E4" s="98" t="str">
        <x:v>Give Actor A a non-subdelegable grant, then have A invoke Actor B or a broker service to perform the effect using A's tool access. Expected result: target-domain enforcement rejects the request and records both the initiator and attempted deputy.</x:v>
      </x:c>
      <x:c r="F4" s="99" t="str">
        <x:v>Parent and child grant comparison; subdelegation policy; workload identity and tool-credential records; transitive audit trace; denied effect receipt; credential revocation record; recovery transaction under a valid grant.</x:v>
      </x:c>
    </x:row>
    <x:row r="5" ht="100" customHeight="1">
      <x:c r="A5" s="97" t="str">
        <x:v>DAT-04</x:v>
      </x:c>
      <x:c r="B5" s="98" t="str">
        <x:v>Stale-authority replay</x:v>
      </x:c>
      <x:c r="C5" s="98" t="str">
        <x:v>AERA-DA-002, AERA-DA-005, AERA-DA-017, AERA-DA-024, AERA-DA-026, AERA-DA-033, AERA-AUTH-106, AERA-ENF-103</x:v>
      </x:c>
      <x:c r="D5" s="98" t="str">
        <x:v>P: Bound grant and authorization lifetime, use, audience, and context; distribute revocation within a declared maximum. D: Monitor expiry, revocation, actor integrity, and context change at both DAF and enforcement points. C: Reject stale or replayed artifacts and invalidate descendants. R: Reauthorize from current authority after partition reconciliation and reconcile any partial effect.</x:v>
      </x:c>
      <x:c r="E5" s="98" t="str">
        <x:v>Authorize once, revoke the parent grant, isolate an enforcement cache until after the maximum propagation time, then replay the authorization. Expected result: rejection in connected and partitioned modes; no new effect.</x:v>
      </x:c>
      <x:c r="F5" s="99" t="str">
        <x:v>Revocation-latency measurement; cache and partition test results; token validity/use records; enforcement rejection receipt; descendant invalidation trace; post-partition reconciliation evidence.</x:v>
      </x:c>
    </x:row>
    <x:row r="6" ht="100" customHeight="1">
      <x:c r="A6" s="97" t="str">
        <x:v>DAT-05</x:v>
      </x:c>
      <x:c r="B6" s="98" t="str">
        <x:v>Workload identity substitution</x:v>
      </x:c>
      <x:c r="C6" s="98" t="str">
        <x:v>AERA-DA-005, AERA-DA-007, AERA-DA-012, AERA-DA-024, AERA-DA-033, AERA-DA-034, AERA-ENF-103</x:v>
      </x:c>
      <x:c r="D6" s="98" t="str">
        <x:v>P: Bind workload identity to owner, role, model or software version, runtime integrity, tools, consequence ceiling, and exact proposal. D: Detect actor, binary, model, configuration, or runtime-integrity mismatch and post-release change. C: Reject or quarantine the substituted workload and revoke dependent authorization. R: Restore an approved version and initiate a new transaction.</x:v>
      </x:c>
      <x:c r="E6" s="98" t="str">
        <x:v>Obtain a permit for workload version N, then execute the same proposal from version N+1 or a different model using the same logical actor identifier. Expected result: enforcement rejects actor substitution and the prior permit is invalidated.</x:v>
      </x:c>
      <x:c r="F6" s="99" t="str">
        <x:v>Workload identity registry; version/configuration baseline; attestation or equivalent runtime-integrity evidence; actor-binding test; enforcement rejection receipt; monitoring alert; rollback and reauthorization trace.</x:v>
      </x:c>
    </x:row>
    <x:row r="7" ht="100" customHeight="1">
      <x:c r="A7" s="97" t="str">
        <x:v>DAT-06</x:v>
      </x:c>
      <x:c r="B7" s="98" t="str">
        <x:v>Intent substitution or drift</x:v>
      </x:c>
      <x:c r="C7" s="98" t="str">
        <x:v>AERA-DA-001, AERA-DA-008, AERA-DA-009, AERA-DA-026, AERA-DA-031, AERA-DA-034</x:v>
      </x:c>
      <x:c r="D7" s="98" t="str">
        <x:v>P: Use attributable, versioned, integrity-protected, machine-testable intent with explicit objectives, constraints, prohibitions, priority, and expiry. D: Compare effective intent version and conflict resolution against the transaction and observed effect. C: Invalidate authorization on material intent change; defer, deny, or escalate unresolved conflict. R: Restore an approved intent baseline and reauthorize.</x:v>
      </x:c>
      <x:c r="E7" s="98" t="str">
        <x:v>Issue a permit under intent version 7, then supersede a prohibited outcome or priority without accountable-owner approval while retaining the prior intent identifier. Expected result: integrity/version failure, permit invalidation, and no effect.</x:v>
      </x:c>
      <x:c r="F7" s="99" t="str">
        <x:v>Signed intent objects; intent change history; precedence and conflict tests; intent-to-effect trace; context-change alert; invalidation latency; rollback and new-transaction evidence.</x:v>
      </x:c>
    </x:row>
    <x:row r="8" ht="100" customHeight="1">
      <x:c r="A8" s="97" t="str">
        <x:v>DAT-07</x:v>
      </x:c>
      <x:c r="B8" s="98" t="str">
        <x:v>Policy or configuration rollback</x:v>
      </x:c>
      <x:c r="C8" s="98" t="str">
        <x:v>AERA-DA-008, AERA-DA-009, AERA-DA-010, AERA-DA-026, AERA-DA-031, AERA-DA-034</x:v>
      </x:c>
      <x:c r="D8" s="98" t="str">
        <x:v>P: Approve and integrity-protect policy/configuration versions; bind exact policy inputs and evaluator version to each disposition; reject unapproved rollback. D: Detect version, signature, baseline, and evaluator mismatch. C: Quarantine the unapproved bundle and invalidate dispositions derived from it. R: Restore the approved baseline, reassess affected transactions, and verify rollback.</x:v>
      </x:c>
      <x:c r="E8" s="98" t="str">
        <x:v>Replace the current restrictive policy bundle with an authentic but obsolete permissive version and replay a previously valid evaluator image. Expected result: rollback rejection and no permit.</x:v>
      </x:c>
      <x:c r="F8" s="99" t="str">
        <x:v>Approved signed policy inventory; configuration baseline; disposition record with policy/evaluator versions; rollback and downgrade test results; alert and quarantine record; restoration and reassessment trace.</x:v>
      </x:c>
    </x:row>
    <x:row r="9" ht="100" customHeight="1">
      <x:c r="A9" s="97" t="str">
        <x:v>DAT-08</x:v>
      </x:c>
      <x:c r="B9" s="98" t="str">
        <x:v>Consequence-class downgrade</x:v>
      </x:c>
      <x:c r="C9" s="98" t="str">
        <x:v>AERA-DA-001, AERA-DA-006, AERA-DA-009, AERA-DA-011, AERA-DA-018, AERA-DA-027, AERA-CONS-102, AERA-CONS-103, AERA-CONS-105</x:v>
      </x:c>
      <x:c r="D9" s="98" t="str">
        <x:v>P: Apply the worst credible direct, secondary, cumulative, propagated, and irreversible consequence; prevent proposer-only downgrade; preserve non-compensatory hard gates. D: Independently reclassify boundary cases and monitor aggregate exposure. C: Reject the downgrade and apply the higher control floor. R: Narrow the proposal materially or obtain an approved reassessment and new authorization.</x:v>
      </x:c>
      <x:c r="E9" s="98" t="str">
        <x:v>Present the same physical or digital effect as CC-1 after it was approved as CC-3 by splitting it into smaller requests and averaging severity with reversible attributes. Expected result: classification remains at the controlling class and high-consequence controls remain active.</x:v>
      </x:c>
      <x:c r="F9" s="99" t="str">
        <x:v>Approved classification rubric; accountable owner and role matrix; inter-rater and boundary-case results; cumulative-effect analysis; downgrade approval record if applicable; policy trace showing the controlling class.</x:v>
      </x:c>
    </x:row>
    <x:row r="10" ht="100" customHeight="1">
      <x:c r="A10" s="97" t="str">
        <x:v>DAT-09</x:v>
      </x:c>
      <x:c r="B10" s="98" t="str">
        <x:v>Proposal mutation / TOCTOU substitution</x:v>
      </x:c>
      <x:c r="C10" s="98" t="str">
        <x:v>AERA-DA-012, AERA-DA-017, AERA-DA-024, AERA-DA-026, AERA-ENF-102, AERA-ENF-103, AERA-ENF-105, AERA-IF-002</x:v>
      </x:c>
      <x:c r="D10" s="98" t="str">
        <x:v>P: Canonicalize and bind actor, action, target, parameters, tool, sequence, evidence manifest, context, and validity. D: Compare proposal digest and actual execution parameters at enforcement and receipt reconciliation. C: Reject mutation, replay, retargeting, or stale context. R: Preserve evidence, create a new transaction, and reconcile any partial effect.</x:v>
      </x:c>
      <x:c r="E10" s="98" t="str">
        <x:v>After authorization, change one consequential parameter or target while retaining the original token and transaction ID; repeat during a race between policy evaluation and dispatch. Expected result: both mutations are rejected before effect.</x:v>
      </x:c>
      <x:c r="F10" s="99" t="str">
        <x:v>Canonicalization specification; digest and version records; mutation, race, target-substitution, and replay test results; enforcement receipt; effect observation; reauthorization trace.</x:v>
      </x:c>
    </x:row>
    <x:row r="11" ht="100" customHeight="1">
      <x:c r="A11" s="97" t="str">
        <x:v>DAT-10</x:v>
      </x:c>
      <x:c r="B11" s="98" t="str">
        <x:v>Evidence fabrication or source impersonation</x:v>
      </x:c>
      <x:c r="C11" s="98" t="str">
        <x:v>AERA-DA-013, AERA-DA-015, AERA-DA-016, AERA-DA-033, AERA-EVID-101, AERA-EVID-105, AERA-THR-001</x:v>
      </x:c>
      <x:c r="D11" s="98" t="str">
        <x:v>P: Authenticate evidence source and integrity; carry provenance, acquisition context, uncertainty, and limits; exclude or explicitly discount unverifiable evidence. D: Detect contradiction, impossible state, out-of-distribution input, and evidence-quality change. C: Quarantine or exclude the source and reevaluate dependent decisions. R: Acquire replacement evidence and reconcile effects authorized from suspect evidence.</x:v>
      </x:c>
      <x:c r="E11" s="98" t="str">
        <x:v>Inject a fabricated observation using a compromised but otherwise valid source credential, then provide a conflicting independent observation. Expected result: the system does not treat authentication as truth, exposes the contradiction, and follows the configured non-permit path.</x:v>
      </x:c>
      <x:c r="F11" s="99" t="str">
        <x:v>Source-identity and integrity records; evidence manifest; forged-source and contradiction test results; anomaly or plausibility alert; exclusion/quarantine policy trace; dependent-decision invalidation and reassessment evidence. AERA 1.1 RC1 gap-closure control retained in 1.2 WD: AERA-THR-001.</x:v>
      </x:c>
    </x:row>
    <x:row r="12" ht="100" customHeight="1">
      <x:c r="A12" s="97" t="str">
        <x:v>DAT-11</x:v>
      </x:c>
      <x:c r="B12" s="98" t="str">
        <x:v>Provenance destruction or rebinding</x:v>
      </x:c>
      <x:c r="C12" s="98" t="str">
        <x:v>AERA-DA-012, AERA-DA-013, AERA-DA-015, AERA-DA-030, AERA-DA-031, AERA-IF-002, AERA-IF-004, AERA-IF-007</x:v>
      </x:c>
      <x:c r="D12" s="98" t="str">
        <x:v>P: Bind a transaction-specific evidence manifest; retain source and transformation lineage; supersede rather than erase corrections. D: Reconstruct raw-to-derived-to-decision links and detect a missing or altered lineage edge. C: Withdraw or quarantine the misbound artifact and invalidate reliance. R: Rebuild the evidence set from authoritative lineage and re-evaluate.</x:v>
      </x:c>
      <x:c r="E12" s="98" t="str">
        <x:v>Strip transformation metadata from a derived result and attach it to a different transaction with a compatible schema. Expected result: binding or lineage validation fails and no authorization relies on the artifact.</x:v>
      </x:c>
      <x:c r="F12" s="99" t="str">
        <x:v>Evidence manifest and schema; raw/derived relationship records; transaction binding; lineage reconstruction; rebinding and missing-link tests; correction/withdrawal record; reassessment trace.</x:v>
      </x:c>
    </x:row>
    <x:row r="13" ht="100" customHeight="1">
      <x:c r="A13" s="97" t="str">
        <x:v>DAT-12</x:v>
      </x:c>
      <x:c r="B13" s="98" t="str">
        <x:v>Independence illusion / correlated evidence</x:v>
      </x:c>
      <x:c r="C13" s="98" t="str">
        <x:v>AERA-DA-014, AERA-DA-018, AERA-DA-021, AERA-DA-029, AERA-EVID-104</x:v>
      </x:c>
      <x:c r="D13" s="98" t="str">
        <x:v>P: Define independence against the relevant sensor, data, model, provider, clock, network, power, operator, controller, and control-plane failure model. D: Detect shared dependencies and inject common-mode failures. C: Remove correlated sources from the independence count and defer, constrain, or deny when the floor is not met. R: Switch to a genuinely diverse source or approved degraded mode.</x:v>
      </x:c>
      <x:c r="E13" s="98" t="str">
        <x:v>Present two application feeds as independent although both inherit one GNSS receiver, clock distribution path, and provider control plane; fault the common source. Expected result: the quorum loses independence and nominal authority is not preserved.</x:v>
      </x:c>
      <x:c r="F13" s="99" t="str">
        <x:v>Failure-domain model; dependency graph; provenance and independence metadata; common-mode fault-injection results; quorum policy trace; degraded-mode and alternate-source evidence.</x:v>
      </x:c>
    </x:row>
    <x:row r="14" ht="100" customHeight="1">
      <x:c r="A14" s="97" t="str">
        <x:v>DAT-13</x:v>
      </x:c>
      <x:c r="B14" s="98" t="str">
        <x:v>Confidence or calibration manipulation</x:v>
      </x:c>
      <x:c r="C14" s="98" t="str">
        <x:v>AERA-DA-016, AERA-DA-018, AERA-DA-019, AERA-DA-023, AERA-DA-033</x:v>
      </x:c>
      <x:c r="D14" s="98" t="str">
        <x:v>P: Preserve separately evaluated assurance claims, mandatory gates, calibration context, error measures, and known limits; prohibit scalar masking. D: Monitor calibration drift, out-of-distribution state, threshold changes, and dimension failures. C: Defer, constrain, deny, simulate, or quarantine when a mandatory claim fails. R: Restore an approved threshold/model version, recalibrate, and reassess.</x:v>
      </x:c>
      <x:c r="E14" s="98" t="str">
        <x:v>Inflate a scalar confidence score so it exceeds the permit threshold while authority validity or evidence adequacy is NOT-SATISFIED; separately alter calibration thresholds without approval. Expected result: no permit and a visible failed claim.</x:v>
      </x:c>
      <x:c r="F14" s="99" t="str">
        <x:v>Assurance-vector schema; policy decision table; calibration report and population; dimension-failure and threshold-tampering tests; drift alerts; rollback/recalibration record.</x:v>
      </x:c>
    </x:row>
    <x:row r="15" ht="100" customHeight="1">
      <x:c r="A15" s="97" t="str">
        <x:v>DAT-14</x:v>
      </x:c>
      <x:c r="B15" s="98" t="str">
        <x:v>Temporal or causal manipulation</x:v>
      </x:c>
      <x:c r="C15" s="98" t="str">
        <x:v>AERA-DA-017, AERA-DA-020, AERA-DA-021, AERA-DA-026, AERA-DA-033, AERA-PNT-001, AERA-PNT-002, AERA-PNT-003</x:v>
      </x:c>
      <x:c r="D15" s="98" t="str">
        <x:v>P: Bind source, time scale/reference frame, uncertainty, integrity, age, freshness, order, and validity thresholds to the decision contract. D: Detect source disagreement, spoofing/jamming indicators, timestamp rewriting, sequence violation, and holdover-limit exceedance. C: Invalidate affected authority/evidence and enter defined defer, deny, constraint, or degraded behavior. R: Transition to characterized alternate/holdover service, reconcile sequence, and reauthorize.</x:v>
      </x:c>
      <x:c r="E15" s="98" t="str">
        <x:v>Delay or rewrite one evidence timestamp so stale data appears fresh while a common reference is spoofed; continue beyond characterized holdover. Expected result: the source is not accepted or used nominally and the transaction cannot permit outside temporal limits.</x:v>
      </x:c>
      <x:c r="F15" s="99" t="str">
        <x:v>PNT evidence object; present/monitored/accepted/used instrumentation; source-selection and sequence logs; spoofing, delay, disagreement, and holdover tests; uncertainty characterization; degraded-mode and reauthorization trace.</x:v>
      </x:c>
    </x:row>
    <x:row r="16" ht="100" customHeight="1">
      <x:c r="A16" s="97" t="str">
        <x:v>DAT-15</x:v>
      </x:c>
      <x:c r="B16" s="98" t="str">
        <x:v>Tool-mediated privilege escalation</x:v>
      </x:c>
      <x:c r="C16" s="98" t="str">
        <x:v>AERA-DA-007, AERA-DA-012, AERA-DA-022, AERA-DA-024, AERA-DA-028, AERA-CY-001, AERA-CY-002, AERA-ENF-102, AERA-ENF-103</x:v>
      </x:c>
      <x:c r="D16" s="98" t="str">
        <x:v>P: Use workload identity and transaction-only, least-privileged, audience/target/action/time-scoped capabilities; independently mediate the effect. D: Compare actor, audience, action, target, parameters, and use state at enforcement. C: Reject, revoke, or quarantine the credential and actor. R: Reissue a properly scoped capability and reconcile attempted effects.</x:v>
      </x:c>
      <x:c r="E16" s="98" t="str">
        <x:v>Use a valid tool credential from the authorized actor against a different target, API audience, action, or time window, including direct invocation outside the transaction. Expected result: all out-of-scope attempts are denied.</x:v>
      </x:c>
      <x:c r="F16" s="99" t="str">
        <x:v>Workload identity and entitlement records; credential issuance and use logs; audience/target/action/time substitution tests; bypass test; enforcement denial receipt; revocation and reissuance trace.</x:v>
      </x:c>
    </x:row>
    <x:row r="17" ht="100" customHeight="1">
      <x:c r="A17" s="97" t="str">
        <x:v>DAT-16</x:v>
      </x:c>
      <x:c r="B17" s="98" t="str">
        <x:v>Cross-domain confused deputy</x:v>
      </x:c>
      <x:c r="C17" s="98" t="str">
        <x:v>AERA-DA-004, AERA-DA-007, AERA-DA-022, AERA-DA-024, AERA-DA-028, AERA-DA-031, AERA-ENF-102, AERA-ENF-103, AERA-THR-002</x:v>
      </x:c>
      <x:c r="D17" s="98" t="str">
        <x:v>P: Bind the requesting actor and authority context to the exact target-domain effect; deny ambient or bearer authority and effect-interface bypass. D: Preserve initiator, deputy, grant, and target-domain enforcement attribution. C: Reject the deputy's ambient-privilege action and revoke derived capabilities. R: Reissue an explicit attenuated target-domain grant and reconcile attempted effects.</x:v>
      </x:c>
      <x:c r="E17" s="98" t="str">
        <x:v>Have an authorized intermediary receive an unauthorized request and invoke the target using the intermediary's own standing credential without forwarding the original initiator/delegation. Expected result: target-domain enforcement rejects the request.</x:v>
      </x:c>
      <x:c r="F17" s="99" t="str">
        <x:v>Multi-hop identity/delegation trace; target-domain policy test; service credential scope; ambient-authority negative case; enforcement receipt; transitive audit reconstruction. AERA 1.1 RC1 gap-closure control retained in 1.2 WD: AERA-THR-002.</x:v>
      </x:c>
    </x:row>
    <x:row r="18" ht="100" customHeight="1">
      <x:c r="A18" s="97" t="str">
        <x:v>DAT-17</x:v>
      </x:c>
      <x:c r="B18" s="98" t="str">
        <x:v>Cumulative-effect / action-decomposition attack</x:v>
      </x:c>
      <x:c r="C18" s="98" t="str">
        <x:v>AERA-DA-011, AERA-DA-027, AERA-DA-033, AERA-CONS-104, AERA-CONS-106, AERA-THEORY-002</x:v>
      </x:c>
      <x:c r="D18" s="98" t="str">
        <x:v>P: Evaluate sequences, batches, concurrent actions, campaigns, and portfolios; reserve shared limits and prevent decomposition around a control floor. D: Monitor rolling exposure and interacting state across actors, tools, targets, and time. C: Stop or deny the sequence and revoke remaining reservations/authority. R: Reclassify the composed effect, compensate or restore state, and issue a new bounded transaction if acceptable.</x:v>
      </x:c>
      <x:c r="E18" s="98" t="str">
        <x:v>Have two actors submit individually permissible operations that together exceed a shared safety, financial, cyber, or physical limit; vary order and concurrency. Expected result: aggregate reservation prevents the prohibited state.</x:v>
      </x:c>
      <x:c r="F18" s="99" t="str">
        <x:v>Consequence and dependency model; shared-limit/reservation design; multi-actor sequence and concurrency tests; budget telemetry; denial/stop trace; recovery or compensation evidence.</x:v>
      </x:c>
    </x:row>
    <x:row r="19" ht="100" customHeight="1">
      <x:c r="A19" s="97" t="str">
        <x:v>DAT-18</x:v>
      </x:c>
      <x:c r="B19" s="98" t="str">
        <x:v>Multi-agent collusion / consensus capture</x:v>
      </x:c>
      <x:c r="C19" s="98" t="str">
        <x:v>AERA-DA-014, AERA-DA-027, AERA-DA-029, AERA-EVID-104</x:v>
      </x:c>
      <x:c r="D19" s="98" t="str">
        <x:v>P: Define quorum independence by controller, lineage, training data, evidence, operator, provider, clock, and failure domain rather than vote count. D: Detect shared control, provenance, synchronized anomalies, and correlated output. C: Discount captured members, fail the quorum, and defer/escalate. R: Convene an independently controlled review or evidence set and re-evaluate.</x:v>
      </x:c>
      <x:c r="E19" s="98" t="str">
        <x:v>Populate a three-agent quorum with agents that have separate identities but share one controller, model lineage, data source, and operator; coordinate a false vote. Expected result: the votes do not satisfy the independence requirement.</x:v>
      </x:c>
      <x:c r="F19" s="99" t="str">
        <x:v>Quorum policy; controller/model/data/operator provenance; failure-domain analysis; collusion and common-controller tests; disposition trace; independent-review reconstitution evidence.</x:v>
      </x:c>
    </x:row>
    <x:row r="20" ht="100" customHeight="1">
      <x:c r="A20" s="97" t="str">
        <x:v>DAT-19</x:v>
      </x:c>
      <x:c r="B20" s="98" t="str">
        <x:v>External compute / oracle substitution</x:v>
      </x:c>
      <x:c r="C20" s="98" t="str">
        <x:v>AERA-DA-013, AERA-DA-015, AERA-DA-017, AERA-DA-030, AERA-DA-033, AERA-DA-034, AERA-DA-036</x:v>
      </x:c>
      <x:c r="D20" s="98" t="str">
        <x:v>P: Bind request, result, provider/service version, execution context, time, uncertainty, and validation method; require characterized fallback and independent effect enforcement. D: Verify provider identity, binding, freshness, plausibility, and service characterization. C: Exclude or quarantine the service/result and constrain or deny consequential use. R: Execute the characterized classical/local fallback, re-run validation, and reauthorize.</x:v>
      </x:c>
      <x:c r="E20" s="98" t="str">
        <x:v>Return a validly signed but stale or cross-request result from an external AI, optimizer, or quantum service, then make the provider unavailable. Expected result: misbound result rejection and controlled fallback without authority expansion.</x:v>
      </x:c>
      <x:c r="F20" s="99" t="str">
        <x:v>Service contract and provider identity; request/result binding records; version and uncertainty metadata; stale/misbound/plausibility tests; provider-failure exercise; fallback characterization; independent enforcement receipt.</x:v>
      </x:c>
    </x:row>
    <x:row r="21" ht="100" customHeight="1">
      <x:c r="A21" s="97" t="str">
        <x:v>DAT-20</x:v>
      </x:c>
      <x:c r="B21" s="98" t="str">
        <x:v>Assurance bypass / denial / fail-open</x:v>
      </x:c>
      <x:c r="C21" s="98" t="str">
        <x:v>AERA-DA-006, AERA-DA-009, AERA-DA-018, AERA-DA-022, AERA-DA-023, AERA-DA-025, AERA-DA-033, AERA-CY-002, AERA-IF-009, AERA-THR-003</x:v>
      </x:c>
      <x:c r="D21" s="98" t="str">
        <x:v>P: Require independently controlled effect mediation and explicit non-permit semantics; pre-engineer consequence-specific outage behavior. D: Detect bypass, timeout, overload, partition, and missing assurance state. C: Inhibit the effect path, quarantine the bypass route, and enter the declared degraded mode. R: Restore DAF service, reconcile queued/partial transactions, and reauthorize from current state.</x:v>
      </x:c>
      <x:c r="E21" s="98" t="str">
        <x:v>Saturate or partition the DAF, force a timeout, and attempt direct execution plus a default-allow response. Expected result: no silent permit, deterministic degraded behavior, and no unmediated effect.</x:v>
      </x:c>
      <x:c r="F21" s="99" t="str">
        <x:v>Trust-boundary and bypass analysis; capacity, overload, timeout, and partition tests; fail-safe/degraded-mode evidence; effect-interface denial receipt; continuity and reconciliation exercise. AERA 1.1 RC1 gap-closure control retained in 1.2 WD: AERA-THR-003.</x:v>
      </x:c>
    </x:row>
    <x:row r="22" ht="100" customHeight="1">
      <x:c r="A22" s="97" t="str">
        <x:v>DAT-21</x:v>
      </x:c>
      <x:c r="B22" s="98" t="str">
        <x:v>Enforcement desynchronization</x:v>
      </x:c>
      <x:c r="C22" s="98" t="str">
        <x:v>AERA-DA-005, AERA-DA-010, AERA-DA-012, AERA-DA-017, AERA-DA-024, AERA-DA-025, AERA-DA-026, AERA-DA-033, AERA-ENF-102, AERA-ENF-105, AERA-IF-005, AERA-IF-010, AERA-THR-004</x:v>
      </x:c>
      <x:c r="D22" s="98" t="str">
        <x:v>P: Bind policy/context versions and transaction state; validate authorization, revocation, use, and proposal at enforcement; reject replay. D: Acknowledge execution state through integrity-protected receipts and reconcile version/use mismatches. C: Reject or revoke stale enforcement state and stop further effect. R: Synchronize current policy/context, reconcile partial execution, and create a new transaction.</x:v>
      </x:c>
      <x:c r="E22" s="98" t="str">
        <x:v>Delay policy/revocation replication to one enforcement point, then race duplicate or reordered requests across two points. Expected result: stale and duplicate attempts cannot create a second or unauthorized effect.</x:v>
      </x:c>
      <x:c r="F22" s="99" t="str">
        <x:v>Policy/context version records; replication-lag and race tests; authorization use counter; enforcement acknowledgements/receipts; replay rejection; mismatch alert; reconciliation trace. AERA 1.1 RC1 gap-closure control retained in 1.2 WD: AERA-THR-004.</x:v>
      </x:c>
    </x:row>
    <x:row r="23" ht="100" customHeight="1">
      <x:c r="A23" s="97" t="str">
        <x:v>DAT-22</x:v>
      </x:c>
      <x:c r="B23" s="98" t="str">
        <x:v>Audit-chain corruption</x:v>
      </x:c>
      <x:c r="C23" s="98" t="str">
        <x:v>AERA-DA-020, AERA-DA-031, AERA-DA-035, AERA-DA-036, AERA-DAF-116, AERA-ENF-105, AERA-ENF-107, AERA-IF-004, AERA-IF-007, AERA-THR-005</x:v>
      </x:c>
      <x:c r="D23" s="98" t="str">
        <x:v>P: Retain a tamper-evident, causally linked record with protected identity, integrity, ordering, and time quality; supersede rather than erase corrections. D: Perform completeness sampling, integrity verification, and end-to-end causal reconstruction. C: Isolate the corrupted logging path and preserve independent receipts/effect observations. R: Reconstruct from protected sources, document residual uncertainty, and reassess affected claims.</x:v>
      </x:c>
      <x:c r="E23" s="98" t="str">
        <x:v>Delete one disposition, reorder two state transitions, rewrite a timestamp, and forge an enforcement receipt while leaving local logs internally consistent. Expected result: integrity or completeness checks identify each break and reconstruction cannot falsely close the transaction.</x:v>
      </x:c>
      <x:c r="F23" s="99" t="str">
        <x:v>Cryptographic/log-integrity records; time-quality metadata; state-transition and enforcement receipts; deletion/reorder/retime/forgery tests; causal reconstruction; correction record; residual-risk disposition. AERA 1.1 RC1 gap-closure control retained in 1.2 WD: AERA-THR-005.</x:v>
      </x:c>
    </x:row>
    <x:row r="24" ht="100" customHeight="1">
      <x:c r="A24" s="97" t="str">
        <x:v>DAT-23</x:v>
      </x:c>
      <x:c r="B24" s="98" t="str">
        <x:v>Recovery inhibition / disengagement suppression</x:v>
      </x:c>
      <x:c r="C24" s="98" t="str">
        <x:v>AERA-DA-006, AERA-DA-022, AERA-DA-023, AERA-DA-032, AERA-DA-033, AERA-EVID-106, AERA-ENF-104, AERA-HUM-104</x:v>
      </x:c>
      <x:c r="D24" s="98" t="str">
        <x:v>P: Separate recovery/override authority from the actor; define triggers, safe states, stop/contain/rollback/compensation actions, resources, and maximum recovery time. D: Monitor recovery readiness and exercise trigger-to-action paths. C: Invoke independently controlled stop, containment, quarantine, or takeover. R: Reach and verify the defined safe/recovered state and reconcile remaining exposure.</x:v>
      </x:c>
      <x:c r="E24" s="98" t="str">
        <x:v>Compromise the actor and primary control plane, then have the actor refuse stop, revoke, rollback, and quarantine commands. Expected result: an independent recovery path arrests the effect within the validated envelope.</x:v>
      </x:c>
      <x:c r="F24" s="99" t="str">
        <x:v>Recovery envelope and authority assignment; recovery-path independence analysis; protected override records; compromised-actor and control-plane exercise; time-to-safe-state measurement; effect verification and residual-exposure record.</x:v>
      </x:c>
    </x:row>
    <x:row r="25" ht="100" customHeight="1">
      <x:c r="A25" s="97" t="str">
        <x:v>DAT-24</x:v>
      </x:c>
      <x:c r="B25" s="98" t="str">
        <x:v>Learning-loop poisoning / unauthorized behavior change</x:v>
      </x:c>
      <x:c r="C25" s="98" t="str">
        <x:v>AERA-DA-008, AERA-DA-010, AERA-DA-013, AERA-DA-019, AERA-DA-026, AERA-DA-031, AERA-DA-033, AERA-DA-034, AERA-MAT-008</x:v>
      </x:c>
      <x:c r="D25" s="98" t="str">
        <x:v>P: Treat model, prompt, policy, memory, data, tool, dependency, and threshold changes as versioned, provenance-bound, tested, approved, observable, and reversible configuration. D: Monitor drift, calibration, provenance, integrity, behavior, and material-change triggers after release. C: Inhibit promotion or operation, quarantine the changed artifact, and reduce authority. R: Roll back to the approved baseline, verify behavior, and reassess affected evidence and maturity claims.</x:v>
      </x:c>
      <x:c r="E25" s="98" t="str">
        <x:v>Poison feedback or memory to introduce a prohibited behavior without changing the nominal model identifier; separately alter a threshold through an unapproved online-learning path. Expected result: change is detected, authority does not expand, and rollback succeeds.</x:v>
      </x:c>
      <x:c r="F25" s="99" t="str">
        <x:v>Configuration and data provenance baseline; predeclared acceptance tests; approval and staged-release record; drift/calibration/integrity alerts; unauthorized-change test; rollback evidence; material-change reassessment.</x:v>
      </x:c>
    </x:row>
    <x:row r="26" ht="100" customHeight="1">
      <x:c r="A26" s="100" t="str">
        <x:v>DAT-25</x:v>
      </x:c>
      <x:c r="B26" s="101" t="str">
        <x:v>Oversight saturation / automation-bias exploitation</x:v>
      </x:c>
      <x:c r="C26" s="101" t="str">
        <x:v>AERA-DA-001, AERA-DA-006, AERA-DA-011, AERA-DA-016, AERA-DA-023, AERA-DA-029, AERA-DA-032, AERA-DA-035, AERA-HUM-102, AERA-HUM-103, AERA-THR-006</x:v>
      </x:c>
      <x:c r="D26" s="101" t="str">
        <x:v>P: Apply consequence-aware human-control modes, separation of duties, decisive review information, and independent review where required. D: Measure queue depth, review latency, override/approval patterns, explanation quality, workload, and error under stress. C: Throttle, defer, narrow, or deny requests; reassign review; require second-person concurrence for the defined threshold. R: Reconstruct affected approvals, reassess potentially perfunctory decisions, and restore sustainable oversight capacity.</x:v>
      </x:c>
      <x:c r="E26" s="101" t="str">
        <x:v>Flood reviewers with mixed low- and high-consequence requests, compressed deadlines, repetitive alerts, and misleading but plausible explanations; test whether approval accuracy or independence collapses or timeout becomes permission.</x:v>
      </x:c>
      <x:c r="F26" s="102" t="str">
        <x:v>Human-factors test plan; consequence-prioritized queue and throttle evidence; workload/latency/error telemetry; explanation-quality criteria; approval and second-person-review records; adverse-result analysis; reassessment and recovery record. AERA 1.1 RC1 gap-closure control retained in 1.2 WD: AERA-THR-006.</x:v>
      </x:c>
    </x:row>
  </x:sheetData>
  <x:pageMargins left="0.7" right="0.7" top="0.75" bottom="0.75" header="0.3" footer="0.3"/>
  <x:tableParts count="1">
    <x:tablePart xmlns:r="http://schemas.openxmlformats.org/officeDocument/2006/relationships" r:id="R77cbeba5ef6543e4"/>
  </x:tableParts>
</x:worksheet>
</file>

<file path=xl/worksheets/sheet6.xml><?xml version="1.0" encoding="utf-8"?>
<x:worksheet xmlns:x="http://schemas.openxmlformats.org/spreadsheetml/2006/main">
  <x:sheetFormatPr defaultRowHeight="15"/>
  <x:cols>
    <x:col min="1" max="1" width="10" hidden="0" customWidth="1"/>
    <x:col min="2" max="2" width="58" hidden="0" customWidth="1"/>
    <x:col min="3" max="3" width="42" hidden="0" customWidth="1"/>
    <x:col min="4" max="4" width="16" hidden="0" customWidth="1"/>
    <x:col min="5" max="5" width="58" hidden="0" customWidth="1"/>
    <x:col min="6" max="6" width="46" hidden="0" customWidth="1"/>
    <x:col min="7" max="7" width="72" hidden="0" customWidth="1"/>
  </x:cols>
  <x:sheetData>
    <x:row r="1" ht="30" customHeight="1">
      <x:c r="A1" s="124" t="str">
        <x:v>﻿Reference</x:v>
      </x:c>
      <x:c r="B1" s="125" t="str">
        <x:v>Source</x:v>
      </x:c>
      <x:c r="C1" s="125" t="str">
        <x:v>Status and version/date</x:v>
      </x:c>
      <x:c r="D1" s="125" t="str">
        <x:v>Accessed</x:v>
      </x:c>
      <x:c r="E1" s="125" t="str">
        <x:v>Official URL or DOI</x:v>
      </x:c>
      <x:c r="F1" s="125" t="str">
        <x:v>Mapping direction</x:v>
      </x:c>
      <x:c r="G1" s="126" t="str">
        <x:v>Required caveat</x:v>
      </x:c>
    </x:row>
    <x:row r="2" ht="70" customHeight="1">
      <x:c r="A2" s="97" t="str">
        <x:v>1</x:v>
      </x:c>
      <x:c r="B2" s="98" t="str">
        <x:v>NIST AI RMF 1.0, AI 100-1</x:v>
      </x:c>
      <x:c r="C2" s="98" t="str">
        <x:v>FINAL, January 2023</x:v>
      </x:c>
      <x:c r="D2" s="98" t="str">
        <x:v>2026-08-07</x:v>
      </x:c>
      <x:c r="E2" s="98" t="str">
        <x:v>https://doi.org/10.6028/NIST.AI.100-1</x:v>
      </x:c>
      <x:c r="F2" s="98" t="str">
        <x:v>AERA → source; partial</x:v>
      </x:c>
      <x:c r="G2" s="99" t="str">
        <x:v>Voluntary risk framework; not a checklist or certification. Use as the current final mapped baseline while revision proceeds.</x:v>
      </x:c>
    </x:row>
    <x:row r="3" ht="70" customHeight="1">
      <x:c r="A3" s="97" t="str">
        <x:v>2</x:v>
      </x:c>
      <x:c r="B3" s="98" t="str">
        <x:v>NIST AI RMF program page</x:v>
      </x:c>
      <x:c r="C3" s="98" t="str">
        <x:v>LIVING STATUS PAGE; revision underway as of access date</x:v>
      </x:c>
      <x:c r="D3" s="98" t="str">
        <x:v>2026-08-07</x:v>
      </x:c>
      <x:c r="E3" s="98" t="str">
        <x:v>https://www.nist.gov/itl/ai-risk-management-framework</x:v>
      </x:c>
      <x:c r="F3" s="98" t="str">
        <x:v>Context only</x:v>
      </x:c>
      <x:c r="G3" s="99" t="str">
        <x:v>Cite only for current program/revision status, not substantive requirements.</x:v>
      </x:c>
    </x:row>
    <x:row r="4" ht="70" customHeight="1">
      <x:c r="A4" s="97" t="str">
        <x:v>3</x:v>
      </x:c>
      <x:c r="B4" s="98" t="str">
        <x:v>National Institute of Standards and Technology, Artificial Intelligence Risk Management Framework: Generative Artificial Intelligence Profile, NIST AI 600-1, July 2024</x:v>
      </x:c>
      <x:c r="C4" s="98" t="str">
        <x:v>PUBLISHED / FINAL OR ACTIVE EDITION AS STATED</x:v>
      </x:c>
      <x:c r="D4" s="98" t="str">
        <x:v>2026-08-07</x:v>
      </x:c>
      <x:c r="E4" s="98" t="str">
        <x:v>https://doi.org/10.6028/NIST.AI.600-1</x:v>
      </x:c>
      <x:c r="F4" s="98" t="str">
        <x:v>Informative comparison or contextual source; see Sections 22 and 31</x:v>
      </x:c>
      <x:c r="G4" s="99" t="str">
        <x:v>Directional use only; citation does not establish reciprocal compliance, AERA validity, adoption, certification, or endorsement.</x:v>
      </x:c>
    </x:row>
    <x:row r="5" ht="70" customHeight="1">
      <x:c r="A5" s="97" t="str">
        <x:v>4</x:v>
      </x:c>
      <x:c r="B5" s="98" t="str">
        <x:v>NIST AI 100-2 E2025</x:v>
      </x:c>
      <x:c r="C5" s="98" t="str">
        <x:v>FINAL, March 2025; official potential-updates notice posted June 2025</x:v>
      </x:c>
      <x:c r="D5" s="98" t="str">
        <x:v>2026-08-07</x:v>
      </x:c>
      <x:c r="E5" s="98" t="str">
        <x:v>https://doi.org/10.6028/NIST.AI.100-2e2025</x:v>
      </x:c>
      <x:c r="F5" s="98" t="str">
        <x:v>Source → AERA terminology; AERA DAT → source taxonomy, partial</x:v>
      </x:c>
      <x:c r="G5" s="99" t="str">
        <x:v>AML taxonomy is not a complete agent-security or enterprise-authority threat model. Track official errata/potential updates.</x:v>
      </x:c>
    </x:row>
    <x:row r="6" ht="70" customHeight="1">
      <x:c r="A6" s="97" t="str">
        <x:v>5</x:v>
      </x:c>
      <x:c r="B6" s="98" t="str">
        <x:v>NIST AI Agent Standards Initiative</x:v>
      </x:c>
      <x:c r="C6" s="98" t="str">
        <x:v>PROGRAM/INITIATIVE, created February 17 and updated April 20, 2026</x:v>
      </x:c>
      <x:c r="D6" s="98" t="str">
        <x:v>2026-08-07</x:v>
      </x:c>
      <x:c r="E6" s="98" t="str">
        <x:v>https://www.nist.gov/artificial-intelligence/ai-agent-standards-initiative</x:v>
      </x:c>
      <x:c r="F6" s="98" t="str">
        <x:v>Context only</x:v>
      </x:c>
      <x:c r="G6" s="99" t="str">
        <x:v>Describes NIST activity and strategic pillars; it is not a standard, profile, control catalog, or endorsement of AERA.</x:v>
      </x:c>
    </x:row>
    <x:row r="7" ht="70" customHeight="1">
      <x:c r="A7" s="97" t="str">
        <x:v>6</x:v>
      </x:c>
      <x:c r="B7" s="98" t="str">
        <x:v>NCCoE Software and AI Agent Identity and Authorization</x:v>
      </x:c>
      <x:c r="C7" s="98" t="str">
        <x:v>DRAFT CONCEPT PAPER, February 2026</x:v>
      </x:c>
      <x:c r="D7" s="98" t="str">
        <x:v>2026-08-07</x:v>
      </x:c>
      <x:c r="E7" s="98" t="str">
        <x:v>https://www.nccoe.nist.gov/publications/other/accelerating-adoption-software-and-ai-agent-identity-and-authorization-concept</x:v>
      </x:c>
      <x:c r="F7" s="98" t="str">
        <x:v>Source → AERA terminology/context; AERA → source comparison</x:v>
      </x:c>
      <x:c r="G7" s="99" t="str">
        <x:v>Scoping paper for a potential NCCoE project; no final architecture or normative control requirements.</x:v>
      </x:c>
    </x:row>
    <x:row r="8" ht="70" customHeight="1">
      <x:c r="A8" s="97" t="str">
        <x:v>7</x:v>
      </x:c>
      <x:c r="B8" s="98" t="str">
        <x:v>NIST TRAI 800-5 agent-security RFI response analysis</x:v>
      </x:c>
      <x:c r="C8" s="98" t="str">
        <x:v>PUBLISHED ANALYSIS, May 18, 2026</x:v>
      </x:c>
      <x:c r="D8" s="98" t="str">
        <x:v>2026-08-07</x:v>
      </x:c>
      <x:c r="E8" s="98" t="str">
        <x:v>https://www.nist.gov/publications/summary-analysis-responses-request-information-regarding-security-considerations-ai</x:v>
      </x:c>
      <x:c r="F8" s="98" t="str">
        <x:v>Context only; informs threat/research-gap rationale</x:v>
      </x:c>
      <x:c r="G8" s="99" t="str">
        <x:v>Summarizes stakeholder responses; it is not NIST guidance, consensus validation of submitted claims, or a control standard.</x:v>
      </x:c>
    </x:row>
    <x:row r="9" ht="70" customHeight="1">
      <x:c r="A9" s="97" t="str">
        <x:v>8</x:v>
      </x:c>
      <x:c r="B9" s="98" t="str">
        <x:v>NIST IR 8596 Cyber AI Profile</x:v>
      </x:c>
      <x:c r="C9" s="98" t="str">
        <x:v>INITIAL PRELIMINARY DRAFT, December 16, 2025; comment period closed</x:v>
      </x:c>
      <x:c r="D9" s="98" t="str">
        <x:v>2026-08-07</x:v>
      </x:c>
      <x:c r="E9" s="98" t="str">
        <x:v>https://doi.org/10.6028/NIST.IR.8596.iprd</x:v>
      </x:c>
      <x:c r="F9" s="98" t="str">
        <x:v>AERA → draft source, contextual/partial</x:v>
      </x:c>
      <x:c r="G9" s="99" t="str">
        <x:v>Draft profile subject to change. Do not treat draft outcomes as final requirements or a compliance basis.</x:v>
      </x:c>
    </x:row>
    <x:row r="10" ht="70" customHeight="1">
      <x:c r="A10" s="97" t="str">
        <x:v>9</x:v>
      </x:c>
      <x:c r="B10" s="98" t="str">
        <x:v>NIST AI RMF Critical Infrastructure Profile concept note</x:v>
      </x:c>
      <x:c r="C10" s="98" t="str">
        <x:v>CONCEPT NOTE/ONGOING PROJECT, April 2026</x:v>
      </x:c>
      <x:c r="D10" s="98" t="str">
        <x:v>2026-08-07</x:v>
      </x:c>
      <x:c r="E10" s="98" t="str">
        <x:v>https://www.nist.gov/programs-projects/concept-note-ai-rmf-profile-trustworthy-ai-critical-infrastructure</x:v>
      </x:c>
      <x:c r="F10" s="98" t="str">
        <x:v>Context only</x:v>
      </x:c>
      <x:c r="G10" s="99" t="str">
        <x:v>Announces profile development and examples; it is not the profile and supplies no final control baseline.</x:v>
      </x:c>
    </x:row>
    <x:row r="11" ht="70" customHeight="1">
      <x:c r="A11" s="97" t="str">
        <x:v>10</x:v>
      </x:c>
      <x:c r="B11" s="98" t="str">
        <x:v>National Institute of Standards and Technology, The NIST Cybersecurity Framework (CSF) 2.0, NIST CSWP 29, February 2024</x:v>
      </x:c>
      <x:c r="C11" s="98" t="str">
        <x:v>PUBLISHED / FINAL OR ACTIVE EDITION AS STATED</x:v>
      </x:c>
      <x:c r="D11" s="98" t="str">
        <x:v>2026-08-07</x:v>
      </x:c>
      <x:c r="E11" s="98" t="str">
        <x:v>https://doi.org/10.6028/NIST.CSWP.29</x:v>
      </x:c>
      <x:c r="F11" s="98" t="str">
        <x:v>Informative comparison or contextual source; see Sections 22 and 31</x:v>
      </x:c>
      <x:c r="G11" s="99" t="str">
        <x:v>Directional use only; citation does not establish reciprocal compliance, AERA validity, adoption, certification, or endorsement.</x:v>
      </x:c>
    </x:row>
    <x:row r="12" ht="70" customHeight="1">
      <x:c r="A12" s="97" t="str">
        <x:v>11</x:v>
      </x:c>
      <x:c r="B12" s="98" t="str">
        <x:v>Rose, S.; Borchert, O.; Mitchell, S.; and Connelly, S., Zero Trust Architecture, NIST SP 800-207, August 2020</x:v>
      </x:c>
      <x:c r="C12" s="98" t="str">
        <x:v>PUBLISHED / FINAL OR ACTIVE EDITION AS STATED</x:v>
      </x:c>
      <x:c r="D12" s="98" t="str">
        <x:v>2026-08-07</x:v>
      </x:c>
      <x:c r="E12" s="98" t="str">
        <x:v>https://doi.org/10.6028/NIST.SP.800-207</x:v>
      </x:c>
      <x:c r="F12" s="98" t="str">
        <x:v>Informative comparison or contextual source; see Sections 22 and 31</x:v>
      </x:c>
      <x:c r="G12" s="99" t="str">
        <x:v>Directional use only; citation does not establish reciprocal compliance, AERA validity, adoption, certification, or endorsement.</x:v>
      </x:c>
    </x:row>
    <x:row r="13" ht="70" customHeight="1">
      <x:c r="A13" s="97" t="str">
        <x:v>12</x:v>
      </x:c>
      <x:c r="B13" s="98" t="str">
        <x:v>Chandramouli, R., and Butcher, Z., A Zero Trust Architecture Model for Access Control in Cloud-Native Applications in Multi-Cloud Environments, NIST SP 800-207A, September 2023</x:v>
      </x:c>
      <x:c r="C13" s="98" t="str">
        <x:v>PUBLISHED / FINAL OR ACTIVE EDITION AS STATED</x:v>
      </x:c>
      <x:c r="D13" s="98" t="str">
        <x:v>2026-08-07</x:v>
      </x:c>
      <x:c r="E13" s="98" t="str">
        <x:v>https://doi.org/10.6028/NIST.SP.800-207A</x:v>
      </x:c>
      <x:c r="F13" s="98" t="str">
        <x:v>Informative comparison or contextual source; see Sections 22 and 31</x:v>
      </x:c>
      <x:c r="G13" s="99" t="str">
        <x:v>Directional use only; citation does not establish reciprocal compliance, AERA validity, adoption, certification, or endorsement.</x:v>
      </x:c>
    </x:row>
    <x:row r="14" ht="70" customHeight="1">
      <x:c r="A14" s="97" t="str">
        <x:v>13</x:v>
      </x:c>
      <x:c r="B14" s="98" t="str">
        <x:v>NIST SP 800-53 Rev. 5</x:v>
      </x:c>
      <x:c r="C14" s="98" t="str">
        <x:v>FINAL, Release 5.2.0 issued August 27, 2025</x:v>
      </x:c>
      <x:c r="D14" s="98" t="str">
        <x:v>2026-08-07</x:v>
      </x:c>
      <x:c r="E14" s="98" t="str">
        <x:v>https://doi.org/10.6028/NIST.SP.800-53r5</x:v>
      </x:c>
      <x:c r="F14" s="98" t="str">
        <x:v>AERA → source controls, direct/partial/enabling by clause</x:v>
      </x:c>
      <x:c r="G14" s="99" t="str">
        <x:v>Control selection and tailoring remain risk-based. A mapping does not show implementation or effectiveness.</x:v>
      </x:c>
    </x:row>
    <x:row r="15" ht="70" customHeight="1">
      <x:c r="A15" s="97" t="str">
        <x:v>14</x:v>
      </x:c>
      <x:c r="B15" s="98" t="str">
        <x:v>NIST SP 800-53A Rev. 5</x:v>
      </x:c>
      <x:c r="C15" s="98" t="str">
        <x:v>FINAL, Release 5.2.0 issued August 27, 2025</x:v>
      </x:c>
      <x:c r="D15" s="98" t="str">
        <x:v>2026-08-07</x:v>
      </x:c>
      <x:c r="E15" s="98" t="str">
        <x:v>https://doi.org/10.6028/NIST.SP.800-53Ar5</x:v>
      </x:c>
      <x:c r="F15" s="98" t="str">
        <x:v>AERA → source assessment procedures; Source → AERA V&amp;V concepts</x:v>
      </x:c>
      <x:c r="G15" s="99" t="str">
        <x:v>Procedures are customizable and do not define AERA acceptance criteria.</x:v>
      </x:c>
    </x:row>
    <x:row r="16" ht="70" customHeight="1">
      <x:c r="A16" s="97" t="str">
        <x:v>15</x:v>
      </x:c>
      <x:c r="B16" s="98" t="str">
        <x:v>NIST SP 800-53B</x:v>
      </x:c>
      <x:c r="C16" s="98" t="str">
        <x:v>FINAL, Release 5.2.0 issued August 2025</x:v>
      </x:c>
      <x:c r="D16" s="98" t="str">
        <x:v>2026-08-07</x:v>
      </x:c>
      <x:c r="E16" s="98" t="str">
        <x:v>https://doi.org/10.6028/NIST.SP.800-53B</x:v>
      </x:c>
      <x:c r="F16" s="98" t="str">
        <x:v>Context for baseline-selection claims</x:v>
      </x:c>
      <x:c r="G16" s="99" t="str">
        <x:v>Release 5.2.0 made no baseline-control changes. SA-24 is not in a 53B baseline; selection remains explicit.</x:v>
      </x:c>
    </x:row>
    <x:row r="17" ht="70" customHeight="1">
      <x:c r="A17" s="97" t="str">
        <x:v>16</x:v>
      </x:c>
      <x:c r="B17" s="98" t="str">
        <x:v>Joint Task Force, Risk Management Framework for Information Systems and Organizations: A System Life Cycle Approach for Security and Privacy, NIST SP 800-37 Rev. 2, December 2018</x:v>
      </x:c>
      <x:c r="C17" s="98" t="str">
        <x:v>PUBLISHED / FINAL OR ACTIVE EDITION AS STATED</x:v>
      </x:c>
      <x:c r="D17" s="98" t="str">
        <x:v>2026-08-07</x:v>
      </x:c>
      <x:c r="E17" s="98" t="str">
        <x:v>https://doi.org/10.6028/NIST.SP.800-37r2</x:v>
      </x:c>
      <x:c r="F17" s="98" t="str">
        <x:v>Informative comparison or contextual source; see Sections 22 and 31</x:v>
      </x:c>
      <x:c r="G17" s="99" t="str">
        <x:v>Directional use only; citation does not establish reciprocal compliance, AERA validity, adoption, certification, or endorsement.</x:v>
      </x:c>
    </x:row>
    <x:row r="18" ht="70" customHeight="1">
      <x:c r="A18" s="97" t="str">
        <x:v>17</x:v>
      </x:c>
      <x:c r="B18" s="98" t="str">
        <x:v>Joint Task Force Transformation Initiative, Guide for Conducting Risk Assessments, NIST SP 800-30 Rev. 1, September 2012</x:v>
      </x:c>
      <x:c r="C18" s="98" t="str">
        <x:v>PROGRAM / INITIATIVE; accessed 2026-08-07</x:v>
      </x:c>
      <x:c r="D18" s="98" t="str">
        <x:v>2026-08-07</x:v>
      </x:c>
      <x:c r="E18" s="98" t="str">
        <x:v>https://doi.org/10.6028/NIST.SP.800-30r1</x:v>
      </x:c>
      <x:c r="F18" s="98" t="str">
        <x:v>Informative comparison or contextual source; see Sections 22 and 31</x:v>
      </x:c>
      <x:c r="G18" s="99" t="str">
        <x:v>Directional use only; citation does not establish reciprocal compliance, AERA validity, adoption, certification, or endorsement.</x:v>
      </x:c>
    </x:row>
    <x:row r="19" ht="70" customHeight="1">
      <x:c r="A19" s="97" t="str">
        <x:v>18</x:v>
      </x:c>
      <x:c r="B19" s="98" t="str">
        <x:v>Ross, R.; McEvilley, M.; and Oren, J., Systems Security Engineering: Considerations for a Multidisciplinary Approach in the Engineering of Trustworthy Secure Systems, NIST SP 800-160 Vol. 1 Rev. 1, November 2022</x:v>
      </x:c>
      <x:c r="C19" s="98" t="str">
        <x:v>PUBLISHED / FINAL OR ACTIVE EDITION AS STATED</x:v>
      </x:c>
      <x:c r="D19" s="98" t="str">
        <x:v>2026-08-07</x:v>
      </x:c>
      <x:c r="E19" s="98" t="str">
        <x:v>https://doi.org/10.6028/NIST.SP.800-160v1r1</x:v>
      </x:c>
      <x:c r="F19" s="98" t="str">
        <x:v>Informative comparison or contextual source; see Sections 22 and 31</x:v>
      </x:c>
      <x:c r="G19" s="99" t="str">
        <x:v>Directional use only; citation does not establish reciprocal compliance, AERA validity, adoption, certification, or endorsement.</x:v>
      </x:c>
    </x:row>
    <x:row r="20" ht="70" customHeight="1">
      <x:c r="A20" s="97" t="str">
        <x:v>19</x:v>
      </x:c>
      <x:c r="B20" s="98" t="str">
        <x:v>Ross, R.; Pillitteri, V.; Graubart, R.; Bodeau, D.; and McQuaid, R., Developing Cyber-Resilient Systems: A Systems Security Engineering Approach, NIST SP 800-160 Vol. 2 Rev. 1, December 2021</x:v>
      </x:c>
      <x:c r="C20" s="98" t="str">
        <x:v>PUBLISHED / FINAL OR ACTIVE EDITION AS STATED</x:v>
      </x:c>
      <x:c r="D20" s="98" t="str">
        <x:v>2026-08-07</x:v>
      </x:c>
      <x:c r="E20" s="98" t="str">
        <x:v>https://doi.org/10.6028/NIST.SP.800-160v2r1</x:v>
      </x:c>
      <x:c r="F20" s="98" t="str">
        <x:v>Informative comparison or contextual source; see Sections 22 and 31</x:v>
      </x:c>
      <x:c r="G20" s="99" t="str">
        <x:v>Directional use only; citation does not establish reciprocal compliance, AERA validity, adoption, certification, or endorsement.</x:v>
      </x:c>
    </x:row>
    <x:row r="21" ht="70" customHeight="1">
      <x:c r="A21" s="97" t="str">
        <x:v>20</x:v>
      </x:c>
      <x:c r="B21" s="98" t="str">
        <x:v>Souppaya, M.; Scarfone, K.; and Dodson, D., Secure Software Development Framework (SSDF) Version 1.1, NIST SP 800-218, February 2022</x:v>
      </x:c>
      <x:c r="C21" s="98" t="str">
        <x:v>PUBLISHED / FINAL OR ACTIVE EDITION AS STATED</x:v>
      </x:c>
      <x:c r="D21" s="98" t="str">
        <x:v>2026-08-07</x:v>
      </x:c>
      <x:c r="E21" s="98" t="str">
        <x:v>https://doi.org/10.6028/NIST.SP.800-218</x:v>
      </x:c>
      <x:c r="F21" s="98" t="str">
        <x:v>Informative comparison or contextual source; see Sections 22 and 31</x:v>
      </x:c>
      <x:c r="G21" s="99" t="str">
        <x:v>Directional use only; citation does not establish reciprocal compliance, AERA validity, adoption, certification, or endorsement.</x:v>
      </x:c>
    </x:row>
    <x:row r="22" ht="70" customHeight="1">
      <x:c r="A22" s="97" t="str">
        <x:v>21</x:v>
      </x:c>
      <x:c r="B22" s="98" t="str">
        <x:v>Boyens, J.; Smith, A.; Bartol, N.; Winkler, K.; Holbrook, A.; and Fallon, M., Cybersecurity Supply Chain Risk Management Practices for Systems and Organizations, NIST SP 800-161 Rev. 1, May 2022</x:v>
      </x:c>
      <x:c r="C22" s="98" t="str">
        <x:v>PUBLISHED / FINAL OR ACTIVE EDITION AS STATED</x:v>
      </x:c>
      <x:c r="D22" s="98" t="str">
        <x:v>2026-08-07</x:v>
      </x:c>
      <x:c r="E22" s="98" t="str">
        <x:v>https://doi.org/10.6028/NIST.SP.800-161r1</x:v>
      </x:c>
      <x:c r="F22" s="98" t="str">
        <x:v>Informative comparison or contextual source; see Sections 22 and 31</x:v>
      </x:c>
      <x:c r="G22" s="99" t="str">
        <x:v>Directional use only; citation does not establish reciprocal compliance, AERA validity, adoption, certification, or endorsement.</x:v>
      </x:c>
    </x:row>
    <x:row r="23" ht="70" customHeight="1">
      <x:c r="A23" s="97" t="str">
        <x:v>22</x:v>
      </x:c>
      <x:c r="B23" s="98" t="str">
        <x:v>NIST IR 8323 Rev. 1 PNT Profile</x:v>
      </x:c>
      <x:c r="C23" s="98" t="str">
        <x:v>FINAL, January 2023</x:v>
      </x:c>
      <x:c r="D23" s="98" t="str">
        <x:v>2026-08-07</x:v>
      </x:c>
      <x:c r="E23" s="98" t="str">
        <x:v>https://doi.org/10.6028/NIST.IR.8323r1</x:v>
      </x:c>
      <x:c r="F23" s="98" t="str">
        <x:v>AERA PNT/DA → source profile, partial</x:v>
      </x:c>
      <x:c r="G23" s="99" t="str">
        <x:v>Based on CSF 1.1. AERA’s present/monitored/accepted/used distinction is not an IR 8323 conformance label.</x:v>
      </x:c>
    </x:row>
    <x:row r="24" ht="70" customHeight="1">
      <x:c r="A24" s="97" t="str">
        <x:v>23</x:v>
      </x:c>
      <x:c r="B24" s="98" t="str">
        <x:v>NIST IR 8323 Rev. 2 PNT Profile</x:v>
      </x:c>
      <x:c r="C24" s="98" t="str">
        <x:v>INITIAL PUBLIC DRAFT, May 6, 2026; comment period closed July 6, 2026</x:v>
      </x:c>
      <x:c r="D24" s="98" t="str">
        <x:v>2026-08-07</x:v>
      </x:c>
      <x:c r="E24" s="98" t="str">
        <x:v>https://doi.org/10.6028/NIST.IR.8323r2.ipd</x:v>
      </x:c>
      <x:c r="F24" s="98" t="str">
        <x:v>Context only; future crosswalk-review trigger</x:v>
      </x:c>
      <x:c r="G24" s="99" t="str">
        <x:v>Updated toward CSF 2.0 but not final. Do not replace the Rev. 1 final baseline until NIST publishes a final revision.</x:v>
      </x:c>
    </x:row>
    <x:row r="25" ht="70" customHeight="1">
      <x:c r="A25" s="97" t="str">
        <x:v>24</x:v>
      </x:c>
      <x:c r="B25" s="98" t="str">
        <x:v>Executive Order 13905, “Strengthening National Resilience Through Responsible Use of Positioning, Navigation, and Timing Services,” February 12, 2020</x:v>
      </x:c>
      <x:c r="C25" s="98" t="str">
        <x:v>PUBLISHED / FINAL OR ACTIVE EDITION AS STATED</x:v>
      </x:c>
      <x:c r="D25" s="98" t="str">
        <x:v>2026-08-07</x:v>
      </x:c>
      <x:c r="E25" s="98" t="str">
        <x:v>https://www.federalregister.gov/documents/2020/02/18/2020-03337/strengthening-national-resilience-through-responsible-use-of-positioning-navigation-and-timing</x:v>
      </x:c>
      <x:c r="F25" s="98" t="str">
        <x:v>Informative comparison or contextual source; see Sections 22 and 31</x:v>
      </x:c>
      <x:c r="G25" s="99" t="str">
        <x:v>Directional use only; citation does not establish reciprocal compliance, AERA validity, adoption, certification, or endorsement.</x:v>
      </x:c>
    </x:row>
    <x:row r="26" ht="70" customHeight="1">
      <x:c r="A26" s="97" t="str">
        <x:v>25</x:v>
      </x:c>
      <x:c r="B26" s="98" t="str">
        <x:v>FIPS 203 ML-KEM</x:v>
      </x:c>
      <x:c r="C26" s="98" t="str">
        <x:v>FINAL STANDARD, August 13, 2024</x:v>
      </x:c>
      <x:c r="D26" s="98" t="str">
        <x:v>2026-08-07</x:v>
      </x:c>
      <x:c r="E26" s="98" t="str">
        <x:v>https://doi.org/10.6028/NIST.FIPS.203</x:v>
      </x:c>
      <x:c r="F26" s="98" t="str">
        <x:v>AERA PQC requirements → algorithm standard, direct only for algorithm claims</x:v>
      </x:c>
      <x:c r="G26" s="99" t="str">
        <x:v>Algorithm specification does not establish protocol security, implementation validation, interoperability, migration readiness, or operational approval. Track official errata.</x:v>
      </x:c>
    </x:row>
    <x:row r="27" ht="70" customHeight="1">
      <x:c r="A27" s="97" t="str">
        <x:v>26</x:v>
      </x:c>
      <x:c r="B27" s="98" t="str">
        <x:v>FIPS 204 ML-DSA</x:v>
      </x:c>
      <x:c r="C27" s="98" t="str">
        <x:v>FINAL STANDARD, August 13, 2024</x:v>
      </x:c>
      <x:c r="D27" s="98" t="str">
        <x:v>2026-08-07</x:v>
      </x:c>
      <x:c r="E27" s="98" t="str">
        <x:v>https://doi.org/10.6028/NIST.FIPS.204</x:v>
      </x:c>
      <x:c r="F27" s="98" t="str">
        <x:v>AERA PQC requirements → algorithm standard, direct only for algorithm claims</x:v>
      </x:c>
      <x:c r="G27" s="99" t="str">
        <x:v>Same algorithm-versus-implementation limitation; track official errata.</x:v>
      </x:c>
    </x:row>
    <x:row r="28" ht="70" customHeight="1">
      <x:c r="A28" s="97" t="str">
        <x:v>27</x:v>
      </x:c>
      <x:c r="B28" s="98" t="str">
        <x:v>FIPS 205 SLH-DSA</x:v>
      </x:c>
      <x:c r="C28" s="98" t="str">
        <x:v>FINAL STANDARD, August 13, 2024</x:v>
      </x:c>
      <x:c r="D28" s="98" t="str">
        <x:v>2026-08-07</x:v>
      </x:c>
      <x:c r="E28" s="98" t="str">
        <x:v>https://doi.org/10.6028/NIST.FIPS.205</x:v>
      </x:c>
      <x:c r="F28" s="98" t="str">
        <x:v>AERA PQC requirements → algorithm standard, direct only for algorithm claims</x:v>
      </x:c>
      <x:c r="G28" s="99" t="str">
        <x:v>Same algorithm-versus-implementation limitation; parameter and use-case selection remain separate.</x:v>
      </x:c>
    </x:row>
    <x:row r="29" ht="70" customHeight="1">
      <x:c r="A29" s="97" t="str">
        <x:v>28</x:v>
      </x:c>
      <x:c r="B29" s="98" t="str">
        <x:v>NIST SP 800-227 KEM recommendations</x:v>
      </x:c>
      <x:c r="C29" s="98" t="str">
        <x:v>FINAL, September 18, 2025</x:v>
      </x:c>
      <x:c r="D29" s="98" t="str">
        <x:v>2026-08-07</x:v>
      </x:c>
      <x:c r="E29" s="98" t="str">
        <x:v>https://doi.org/10.6028/NIST.SP.800-227</x:v>
      </x:c>
      <x:c r="F29" s="98" t="str">
        <x:v>AERA PQC/KEM implementation → source recommendations, partial/direct</x:v>
      </x:c>
      <x:c r="G29" s="99" t="str">
        <x:v>KEM-focused; does not by itself validate a complete protocol, product, or migration program.</x:v>
      </x:c>
    </x:row>
    <x:row r="30" ht="70" customHeight="1">
      <x:c r="A30" s="97" t="str">
        <x:v>29</x:v>
      </x:c>
      <x:c r="B30" s="98" t="str">
        <x:v>NIST CSWP 39 Update 1 crypto agility</x:v>
      </x:c>
      <x:c r="C30" s="98" t="str">
        <x:v>FINAL, June 29, 2026</x:v>
      </x:c>
      <x:c r="D30" s="98" t="str">
        <x:v>2026-08-07</x:v>
      </x:c>
      <x:c r="E30" s="98" t="str">
        <x:v>https://doi.org/10.6028/NIST.CSWP.39-upd1</x:v>
      </x:c>
      <x:c r="F30" s="98" t="str">
        <x:v>AERA CY-004/DA-036 → source practices, direct/partial</x:v>
      </x:c>
      <x:c r="G30" s="99" t="str">
        <x:v>Final white paper with strategies and practices, not a FIPS algorithm standard or certification scheme.</x:v>
      </x:c>
    </x:row>
    <x:row r="31" ht="70" customHeight="1">
      <x:c r="A31" s="97" t="str">
        <x:v>30</x:v>
      </x:c>
      <x:c r="B31" s="98" t="str">
        <x:v>NIST IR 8547 PQC transition</x:v>
      </x:c>
      <x:c r="C31" s="98" t="str">
        <x:v>INITIAL PUBLIC DRAFT, November 12, 2024</x:v>
      </x:c>
      <x:c r="D31" s="98" t="str">
        <x:v>2026-08-07</x:v>
      </x:c>
      <x:c r="E31" s="98" t="str">
        <x:v>https://doi.org/10.6028/NIST.IR.8547.ipd</x:v>
      </x:c>
      <x:c r="F31" s="98" t="str">
        <x:v>AERA migration roadmap → draft source, contextual/partial</x:v>
      </x:c>
      <x:c r="G31" s="99" t="str">
        <x:v>Proposed transition approach and timelines remain draft. Keep every use explicitly labeled as draft.</x:v>
      </x:c>
    </x:row>
    <x:row r="32" ht="70" customHeight="1">
      <x:c r="A32" s="97" t="str">
        <x:v>31</x:v>
      </x:c>
      <x:c r="B32" s="98" t="str">
        <x:v>NIST PQC publications register</x:v>
      </x:c>
      <x:c r="C32" s="98" t="str">
        <x:v>LIVING PROGRAM REGISTER, updated through 2026</x:v>
      </x:c>
      <x:c r="D32" s="98" t="str">
        <x:v>2026-08-07</x:v>
      </x:c>
      <x:c r="E32" s="98" t="str">
        <x:v>https://csrc.nist.gov/Projects/Post-Quantum-Cryptography/publications</x:v>
      </x:c>
      <x:c r="F32" s="98" t="str">
        <x:v>Context/status only</x:v>
      </x:c>
      <x:c r="G32" s="99" t="str">
        <x:v>Use to verify current publication status, not as a substitute for the cited publication.</x:v>
      </x:c>
    </x:row>
    <x:row r="33" ht="70" customHeight="1">
      <x:c r="A33" s="97" t="str">
        <x:v>32</x:v>
      </x:c>
      <x:c r="B33" s="98" t="str">
        <x:v>CISA, NSA, and NIST, Quantum-Readiness: Migration to Post-Quantum Cryptography, August 21, 2023</x:v>
      </x:c>
      <x:c r="C33" s="98" t="str">
        <x:v>PUBLISHED / FINAL OR ACTIVE EDITION AS STATED</x:v>
      </x:c>
      <x:c r="D33" s="98" t="str">
        <x:v>2026-08-07</x:v>
      </x:c>
      <x:c r="E33" s="98" t="str">
        <x:v>https://media.defense.gov/2023/Aug/21/2003284212/0/0/0/CSI-QUANTUM-READINESS.PDF</x:v>
      </x:c>
      <x:c r="F33" s="98" t="str">
        <x:v>Informative comparison or contextual source; see Sections 22 and 31</x:v>
      </x:c>
      <x:c r="G33" s="99" t="str">
        <x:v>Directional use only; citation does not establish reciprocal compliance, AERA validity, adoption, certification, or endorsement.</x:v>
      </x:c>
    </x:row>
    <x:row r="34" ht="70" customHeight="1">
      <x:c r="A34" s="97" t="str">
        <x:v>33</x:v>
      </x:c>
      <x:c r="B34" s="98" t="str">
        <x:v>DOE Quantum Internet Blueprint</x:v>
      </x:c>
      <x:c r="C34" s="98" t="str">
        <x:v>FINAL WORKSHOP REPORT, 2020</x:v>
      </x:c>
      <x:c r="D34" s="98" t="str">
        <x:v>2026-08-07</x:v>
      </x:c>
      <x:c r="E34" s="98" t="str">
        <x:v>https://www.energy.gov/sites/prod/files/2020/07/f76/QuantumWkshpRpt20FINAL_Nav_0.pdf</x:v>
      </x:c>
      <x:c r="F34" s="98" t="str">
        <x:v>Context only</x:v>
      </x:c>
      <x:c r="G34" s="99" t="str">
        <x:v>Research blueprint; not proof of enterprise production readiness, a quantum Internet, or unconditional security.</x:v>
      </x:c>
    </x:row>
    <x:row r="35" ht="70" customHeight="1">
      <x:c r="A35" s="97" t="str">
        <x:v>34</x:v>
      </x:c>
      <x:c r="B35" s="98" t="str">
        <x:v>U.S. Department of Energy, Office of Science, Advanced Scientific Computing Research, “Quantum Information Science—Workshops and Reports,” including the July 2023 Basic Research Needs in Quantum Computing and Networking workshop report, accessed 2026-08-07</x:v>
      </x:c>
      <x:c r="C35" s="98" t="str">
        <x:v>PUBLISHED / FINAL OR ACTIVE EDITION AS STATED</x:v>
      </x:c>
      <x:c r="D35" s="98" t="str">
        <x:v>2026-08-07</x:v>
      </x:c>
      <x:c r="E35" s="98" t="str">
        <x:v>https://science.osti.gov/ascr/Research/Quantum-Information-Science-QIS</x:v>
      </x:c>
      <x:c r="F35" s="98" t="str">
        <x:v>Informative comparison or contextual source; see Sections 22 and 31</x:v>
      </x:c>
      <x:c r="G35" s="99" t="str">
        <x:v>Directional use only; citation does not establish reciprocal compliance, AERA validity, adoption, certification, or endorsement.</x:v>
      </x:c>
    </x:row>
    <x:row r="36" ht="70" customHeight="1">
      <x:c r="A36" s="97" t="str">
        <x:v>35</x:v>
      </x:c>
      <x:c r="B36" s="98" t="str">
        <x:v>CISA Zero Trust Maturity Model</x:v>
      </x:c>
      <x:c r="C36" s="98" t="str">
        <x:v>FINAL, Version 2.0, April 2023</x:v>
      </x:c>
      <x:c r="D36" s="98" t="str">
        <x:v>2026-08-07</x:v>
      </x:c>
      <x:c r="E36" s="98" t="str">
        <x:v>https://www.cisa.gov/sites/default/files/2023-04/CISA_Zero_Trust_Maturity_Model_Version_2_508c.pdf</x:v>
      </x:c>
      <x:c r="F36" s="98" t="str">
        <x:v>AERA → source maturity concepts, partial</x:v>
      </x:c>
      <x:c r="G36" s="99" t="str">
        <x:v>Federal zero-trust roadmap; not an AERA maturity or conformance equivalence.</x:v>
      </x:c>
    </x:row>
    <x:row r="37" ht="70" customHeight="1">
      <x:c r="A37" s="97" t="str">
        <x:v>36</x:v>
      </x:c>
      <x:c r="B37" s="98" t="str">
        <x:v>Office of Management and Budget, Moving the U.S. Government Toward Zero Trust Cybersecurity Principles, Memorandum M-22-09, January 26, 2022</x:v>
      </x:c>
      <x:c r="C37" s="98" t="str">
        <x:v>PUBLISHED / FINAL OR ACTIVE EDITION AS STATED</x:v>
      </x:c>
      <x:c r="D37" s="98" t="str">
        <x:v>2026-08-07</x:v>
      </x:c>
      <x:c r="E37" s="98" t="str">
        <x:v>https://www.whitehouse.gov/wp-content/uploads/2022/01/M-22-09.pdf</x:v>
      </x:c>
      <x:c r="F37" s="98" t="str">
        <x:v>Informative comparison or contextual source; see Sections 22 and 31</x:v>
      </x:c>
      <x:c r="G37" s="99" t="str">
        <x:v>Directional use only; citation does not establish reciprocal compliance, AERA validity, adoption, certification, or endorsement.</x:v>
      </x:c>
    </x:row>
    <x:row r="38" ht="70" customHeight="1">
      <x:c r="A38" s="97" t="str">
        <x:v>37</x:v>
      </x:c>
      <x:c r="B38" s="98" t="str">
        <x:v>MITRE, Adversarial Threat Landscape for Artificial-Intelligence Systems (ATLAS), living knowledge base, accessed 2026-08-07</x:v>
      </x:c>
      <x:c r="C38" s="98" t="str">
        <x:v>LIVING RESOURCE; accessed 2026-08-07</x:v>
      </x:c>
      <x:c r="D38" s="98" t="str">
        <x:v>2026-08-07</x:v>
      </x:c>
      <x:c r="E38" s="98" t="str">
        <x:v>https://atlas.mitre.org/</x:v>
      </x:c>
      <x:c r="F38" s="98" t="str">
        <x:v>Informative comparison or contextual source; see Sections 22 and 31</x:v>
      </x:c>
      <x:c r="G38" s="99" t="str">
        <x:v>Directional use only; citation does not establish reciprocal compliance, AERA validity, adoption, certification, or endorsement.</x:v>
      </x:c>
    </x:row>
    <x:row r="39" ht="70" customHeight="1">
      <x:c r="A39" s="97" t="str">
        <x:v>38</x:v>
      </x:c>
      <x:c r="B39" s="98" t="str">
        <x:v>MITRE ATT&amp;CK</x:v>
      </x:c>
      <x:c r="C39" s="98" t="str">
        <x:v>LIVING KNOWLEDGE BASE, Version 19.1 dated April 28, 2026</x:v>
      </x:c>
      <x:c r="D39" s="98" t="str">
        <x:v>2026-08-07</x:v>
      </x:c>
      <x:c r="E39" s="98" t="str">
        <x:v>https://attack.mitre.org/resources/versions/</x:v>
      </x:c>
      <x:c r="F39" s="98" t="str">
        <x:v>AERA DAT → source techniques, partial</x:v>
      </x:c>
      <x:c r="G39" s="99" t="str">
        <x:v>ATT&amp;CK models observed adversary behavior; it is neither complete risk assessment nor an agent-authority control standard. Version-pin mappings.</x:v>
      </x:c>
    </x:row>
    <x:row r="40" ht="70" customHeight="1">
      <x:c r="A40" s="97" t="str">
        <x:v>39</x:v>
      </x:c>
      <x:c r="B40" s="98" t="str">
        <x:v>International Organization for Standardization, ISO/IEC 42001:2023, Information technology—Artificial intelligence—Management system, Edition 1, December 2023, published</x:v>
      </x:c>
      <x:c r="C40" s="98" t="str">
        <x:v>PUBLISHED / FINAL OR ACTIVE EDITION AS STATED</x:v>
      </x:c>
      <x:c r="D40" s="98" t="str">
        <x:v>2026-08-07</x:v>
      </x:c>
      <x:c r="E40" s="98" t="str">
        <x:v>https://www.iso.org/standard/42001</x:v>
      </x:c>
      <x:c r="F40" s="98" t="str">
        <x:v>Informative comparison or contextual source; see Sections 22 and 31</x:v>
      </x:c>
      <x:c r="G40" s="99" t="str">
        <x:v>Directional use only; citation does not establish reciprocal compliance, AERA validity, adoption, certification, or endorsement.</x:v>
      </x:c>
    </x:row>
    <x:row r="41" ht="70" customHeight="1">
      <x:c r="A41" s="97" t="str">
        <x:v>40</x:v>
      </x:c>
      <x:c r="B41" s="98" t="str">
        <x:v>International Organization for Standardization, ISO/IEC 23894:2023, Information technology—Artificial intelligence—Guidance on risk management, Edition 1, February 2023, published</x:v>
      </x:c>
      <x:c r="C41" s="98" t="str">
        <x:v>PUBLISHED / FINAL OR ACTIVE EDITION AS STATED</x:v>
      </x:c>
      <x:c r="D41" s="98" t="str">
        <x:v>2026-08-07</x:v>
      </x:c>
      <x:c r="E41" s="98" t="str">
        <x:v>https://www.iso.org/standard/77304.html</x:v>
      </x:c>
      <x:c r="F41" s="98" t="str">
        <x:v>Informative comparison or contextual source; see Sections 22 and 31</x:v>
      </x:c>
      <x:c r="G41" s="99" t="str">
        <x:v>Directional use only; citation does not establish reciprocal compliance, AERA validity, adoption, certification, or endorsement.</x:v>
      </x:c>
    </x:row>
    <x:row r="42" ht="70" customHeight="1">
      <x:c r="A42" s="97" t="str">
        <x:v>41</x:v>
      </x:c>
      <x:c r="B42" s="98" t="str">
        <x:v>ISO 31000</x:v>
      </x:c>
      <x:c r="C42" s="98" t="str">
        <x:v>PUBLISHED, Edition 2, 2018; confirmed 2023; ISO indicates revision activity</x:v>
      </x:c>
      <x:c r="D42" s="98" t="str">
        <x:v>2026-08-07</x:v>
      </x:c>
      <x:c r="E42" s="98" t="str">
        <x:v>https://www.iso.org/standard/65694.html</x:v>
      </x:c>
      <x:c r="F42" s="98" t="str">
        <x:v>AERA → source risk principles, contextual/partial</x:v>
      </x:c>
      <x:c r="G42" s="99" t="str">
        <x:v>Guidance standard, not certifiable; recheck edition status before RC1 release.</x:v>
      </x:c>
    </x:row>
    <x:row r="43" ht="70" customHeight="1">
      <x:c r="A43" s="97" t="str">
        <x:v>42</x:v>
      </x:c>
      <x:c r="B43" s="98" t="str">
        <x:v>ISO/IEC/IEEE, ISO/IEC/IEEE 15288:2023, Systems and software engineering—System life cycle processes, Edition 2, May 2023, published</x:v>
      </x:c>
      <x:c r="C43" s="98" t="str">
        <x:v>PUBLISHED / FINAL OR ACTIVE EDITION AS STATED</x:v>
      </x:c>
      <x:c r="D43" s="98" t="str">
        <x:v>2026-08-07</x:v>
      </x:c>
      <x:c r="E43" s="98" t="str">
        <x:v>https://www.iso.org/standard/81702.html</x:v>
      </x:c>
      <x:c r="F43" s="98" t="str">
        <x:v>Informative comparison or contextual source; see Sections 22 and 31</x:v>
      </x:c>
      <x:c r="G43" s="99" t="str">
        <x:v>Directional use only; citation does not establish reciprocal compliance, AERA validity, adoption, certification, or endorsement.</x:v>
      </x:c>
    </x:row>
    <x:row r="44" ht="70" customHeight="1">
      <x:c r="A44" s="97" t="str">
        <x:v>43</x:v>
      </x:c>
      <x:c r="B44" s="98" t="str">
        <x:v>IEEE Standards Association, IEEE 7000-2021, IEEE Standard Model Process for Addressing Ethical Concerns during System Design, active standard</x:v>
      </x:c>
      <x:c r="C44" s="98" t="str">
        <x:v>ACTIVE STANDARD; edition stated in reference</x:v>
      </x:c>
      <x:c r="D44" s="98" t="str">
        <x:v>2026-08-07</x:v>
      </x:c>
      <x:c r="E44" s="98" t="str">
        <x:v>https://standards.ieee.org/ieee/IEEE-7000/6781/</x:v>
      </x:c>
      <x:c r="F44" s="98" t="str">
        <x:v>Informative comparison or contextual source; see Sections 22 and 31</x:v>
      </x:c>
      <x:c r="G44" s="99" t="str">
        <x:v>Directional use only; citation does not establish reciprocal compliance, AERA validity, adoption, certification, or endorsement.</x:v>
      </x:c>
    </x:row>
    <x:row r="45" ht="70" customHeight="1">
      <x:c r="A45" s="97" t="str">
        <x:v>44</x:v>
      </x:c>
      <x:c r="B45" s="98" t="str">
        <x:v>IEEE 1012</x:v>
      </x:c>
      <x:c r="C45" s="98" t="str">
        <x:v>ACTIVE STANDARD, IEEE 1012-2024; published August 22, 2025</x:v>
      </x:c>
      <x:c r="D45" s="98" t="str">
        <x:v>2026-08-07</x:v>
      </x:c>
      <x:c r="E45" s="98" t="str">
        <x:v>https://standards.ieee.org/ieee/1012/7324/</x:v>
      </x:c>
      <x:c r="F45" s="98" t="str">
        <x:v>AERA V&amp;V → source processes, partial</x:v>
      </x:c>
      <x:c r="G45" s="99" t="str">
        <x:v>Replaces the superseded 2016 edition. Exact clause mapping requires authorized full-text review.</x:v>
      </x:c>
    </x:row>
    <x:row r="46" ht="70" customHeight="1">
      <x:c r="A46" s="97" t="str">
        <x:v>45</x:v>
      </x:c>
      <x:c r="B46" s="98" t="str">
        <x:v>The Open Group, The TOGAF Standard, 10th Edition, 2022</x:v>
      </x:c>
      <x:c r="C46" s="98" t="str">
        <x:v>PUBLISHED / FINAL OR ACTIVE EDITION AS STATED</x:v>
      </x:c>
      <x:c r="D46" s="98" t="str">
        <x:v>2026-08-07</x:v>
      </x:c>
      <x:c r="E46" s="98" t="str">
        <x:v>https://www.opengroup.org/togaf</x:v>
      </x:c>
      <x:c r="F46" s="98" t="str">
        <x:v>Informative comparison or contextual source; see Sections 22 and 31</x:v>
      </x:c>
      <x:c r="G46" s="99" t="str">
        <x:v>Directional use only; citation does not establish reciprocal compliance, AERA validity, adoption, certification, or endorsement.</x:v>
      </x:c>
    </x:row>
    <x:row r="47" ht="70" customHeight="1">
      <x:c r="A47" s="97" t="str">
        <x:v>46</x:v>
      </x:c>
      <x:c r="B47" s="98" t="str">
        <x:v>U.S. Department of Defense, Responsible Artificial Intelligence Strategy and Implementation Pathway, June 2022</x:v>
      </x:c>
      <x:c r="C47" s="98" t="str">
        <x:v>PUBLISHED / FINAL OR ACTIVE EDITION AS STATED</x:v>
      </x:c>
      <x:c r="D47" s="98" t="str">
        <x:v>2026-08-07</x:v>
      </x:c>
      <x:c r="E47" s="98" t="str">
        <x:v>https://www.ai.mil/About/Resources/index.html</x:v>
      </x:c>
      <x:c r="F47" s="98" t="str">
        <x:v>Informative comparison or contextual source; see Sections 22 and 31</x:v>
      </x:c>
      <x:c r="G47" s="99" t="str">
        <x:v>Directional use only; citation does not establish reciprocal compliance, AERA validity, adoption, certification, or endorsement.</x:v>
      </x:c>
    </x:row>
    <x:row r="48" ht="70" customHeight="1">
      <x:c r="A48" s="97" t="str">
        <x:v>47</x:v>
      </x:c>
      <x:c r="B48" s="98" t="str">
        <x:v>U.S. Department of Defense, “Artificial Intelligence Ethical Principles: Responsible, Equitable, Traceable, Reliable, and Governable,” February 2020</x:v>
      </x:c>
      <x:c r="C48" s="98" t="str">
        <x:v>PUBLISHED / FINAL OR ACTIVE EDITION AS STATED</x:v>
      </x:c>
      <x:c r="D48" s="98" t="str">
        <x:v>2026-08-07</x:v>
      </x:c>
      <x:c r="E48" s="98" t="str">
        <x:v>https://www.defense.gov/News/Feature-Stories/Story/Article/2094085/artificial-intelligence-and-national-security/</x:v>
      </x:c>
      <x:c r="F48" s="98" t="str">
        <x:v>Informative comparison or contextual source; see Sections 22 and 31</x:v>
      </x:c>
      <x:c r="G48" s="99" t="str">
        <x:v>Directional use only; citation does not establish reciprocal compliance, AERA validity, adoption, certification, or endorsement.</x:v>
      </x:c>
    </x:row>
    <x:row r="49" ht="70" customHeight="1">
      <x:c r="A49" s="97" t="str">
        <x:v>48</x:v>
      </x:c>
      <x:c r="B49" s="98" t="str">
        <x:v>CDAO Responsible AI Toolkit</x:v>
      </x:c>
      <x:c r="C49" s="98" t="str">
        <x:v>LIVING RESOURCE, initial public release November 2023</x:v>
      </x:c>
      <x:c r="D49" s="98" t="str">
        <x:v>2026-08-07</x:v>
      </x:c>
      <x:c r="E49" s="98" t="str">
        <x:v>https://www.ai.mil/Latest/Blog/Article-Display/Article/3940314/responsible-ai-toolkit/</x:v>
      </x:c>
      <x:c r="F49" s="98" t="str">
        <x:v>Context and enabling evidence</x:v>
      </x:c>
      <x:c r="G49" s="99" t="str">
        <x:v>Voluntary and DoD-contextual; does not establish general-industry or AERA conformance.</x:v>
      </x:c>
    </x:row>
    <x:row r="50" ht="70" customHeight="1">
      <x:c r="A50" s="97" t="str">
        <x:v>49</x:v>
      </x:c>
      <x:c r="B50" s="98" t="str">
        <x:v>CDAO RAI Toolkit—Generative AI v1.0</x:v>
      </x:c>
      <x:c r="C50" s="98" t="str">
        <x:v>LIVING DOCUMENT, Version 1.0, December 2024</x:v>
      </x:c>
      <x:c r="D50" s="98" t="str">
        <x:v>2026-08-07</x:v>
      </x:c>
      <x:c r="E50" s="98" t="str">
        <x:v>https://www.ai.mil/Portals/137/Documents/Resources%20Page/2024-12GenAI-Responsible-AI-Toolkit.pdf</x:v>
      </x:c>
      <x:c r="F50" s="98" t="str">
        <x:v>Context and enabling evidence</x:v>
      </x:c>
      <x:c r="G50" s="99" t="str">
        <x:v>Tailorable DoD technical resource; use only for GenAI lifecycle practices and label its living status.</x:v>
      </x:c>
    </x:row>
    <x:row r="51" ht="70" customHeight="1">
      <x:c r="A51" s="97" t="str">
        <x:v>50</x:v>
      </x:c>
      <x:c r="B51" s="98" t="str">
        <x:v>NIST IR 8477 concept mapping</x:v>
      </x:c>
      <x:c r="C51" s="98" t="str">
        <x:v>FINAL, February 2024</x:v>
      </x:c>
      <x:c r="D51" s="98" t="str">
        <x:v>2026-08-07</x:v>
      </x:c>
      <x:c r="E51" s="98" t="str">
        <x:v>https://doi.org/10.6028/NIST.IR.8477</x:v>
      </x:c>
      <x:c r="F51" s="98" t="str">
        <x:v>Source → AERA mapping method</x:v>
      </x:c>
      <x:c r="G51" s="99" t="str">
        <x:v>Relationship assertions require direction, style, relationship, rationale and exact concepts; format alignment is not NIST review.</x:v>
      </x:c>
    </x:row>
    <x:row r="52" ht="70" customHeight="1">
      <x:c r="A52" s="97" t="str">
        <x:v>51</x:v>
      </x:c>
      <x:c r="B52" s="98" t="str">
        <x:v>NIST IR 8278 Rev. 1 OLIR overview</x:v>
      </x:c>
      <x:c r="C52" s="98" t="str">
        <x:v>FINAL, February 2024</x:v>
      </x:c>
      <x:c r="D52" s="98" t="str">
        <x:v>2026-08-07</x:v>
      </x:c>
      <x:c r="E52" s="98" t="str">
        <x:v>https://doi.org/10.6028/NIST.IR.8278r1</x:v>
      </x:c>
      <x:c r="F52" s="98" t="str">
        <x:v>Source → AERA publication and mapping lifecycle</x:v>
      </x:c>
      <x:c r="G52" s="99" t="str">
        <x:v>OLIR catalog participation does not establish endorsement or implementation effectiveness.</x:v>
      </x:c>
    </x:row>
    <x:row r="53" ht="70" customHeight="1">
      <x:c r="A53" s="97" t="str">
        <x:v>52</x:v>
      </x:c>
      <x:c r="B53" s="98" t="str">
        <x:v>NIST IR 8278A Rev. 1 OLIR submission guidance</x:v>
      </x:c>
      <x:c r="C53" s="98" t="str">
        <x:v>FINAL, February 2024</x:v>
      </x:c>
      <x:c r="D53" s="98" t="str">
        <x:v>2026-08-07</x:v>
      </x:c>
      <x:c r="E53" s="98" t="str">
        <x:v>https://doi.org/10.6028/NIST.IR.8278Ar1</x:v>
      </x:c>
      <x:c r="F53" s="98" t="str">
        <x:v>Source → AERA submission preparation</x:v>
      </x:c>
      <x:c r="G53" s="99" t="str">
        <x:v>AERA is not submission-ready until public availability, atomic mappings, adjudication and maintenance commitments are complete.</x:v>
      </x:c>
    </x:row>
    <x:row r="54" ht="70" customHeight="1">
      <x:c r="A54" s="97" t="str">
        <x:v>53</x:v>
      </x:c>
      <x:c r="B54" s="98" t="str">
        <x:v>NIST OLIR program</x:v>
      </x:c>
      <x:c r="C54" s="98" t="str">
        <x:v>LIVING PROGRAM, updated July 14, 2026</x:v>
      </x:c>
      <x:c r="D54" s="98" t="str">
        <x:v>2026-08-07</x:v>
      </x:c>
      <x:c r="E54" s="98" t="str">
        <x:v>https://csrc.nist.gov/Projects/olir</x:v>
      </x:c>
      <x:c r="F54" s="98" t="str">
        <x:v>Engagement and status context</x:v>
      </x:c>
      <x:c r="G54" s="99" t="str">
        <x:v>Catalog publication is not NIST endorsement; verify templates and procedures immediately before submission.</x:v>
      </x:c>
    </x:row>
    <x:row r="55" ht="70" customHeight="1">
      <x:c r="A55" s="97" t="str">
        <x:v>54</x:v>
      </x:c>
      <x:c r="B55" s="98" t="str">
        <x:v>NIST SP 800-18 Rev. 2</x:v>
      </x:c>
      <x:c r="C55" s="98" t="str">
        <x:v>FINAL, June 30, 2026</x:v>
      </x:c>
      <x:c r="D55" s="98" t="str">
        <x:v>2026-08-07</x:v>
      </x:c>
      <x:c r="E55" s="98" t="str">
        <x:v>https://doi.org/10.6028/NIST.SP.800-18r2</x:v>
      </x:c>
      <x:c r="F55" s="98" t="str">
        <x:v>AERA evidence and system-plan integration → source</x:v>
      </x:c>
      <x:c r="G55" s="99" t="str">
        <x:v>System planning and machine-readable evidence concepts do not establish AERA conformance.</x:v>
      </x:c>
    </x:row>
    <x:row r="56" ht="70" customHeight="1">
      <x:c r="A56" s="97" t="str">
        <x:v>55</x:v>
      </x:c>
      <x:c r="B56" s="98" t="str">
        <x:v>NIST SP 800-63-4</x:v>
      </x:c>
      <x:c r="C56" s="98" t="str">
        <x:v>FINAL, July 2025</x:v>
      </x:c>
      <x:c r="D56" s="98" t="str">
        <x:v>2026-08-07</x:v>
      </x:c>
      <x:c r="E56" s="98" t="str">
        <x:v>https://doi.org/10.6028/NIST.SP.800-63-4</x:v>
      </x:c>
      <x:c r="F56" s="98" t="str">
        <x:v>AERA human digital identity → source</x:v>
      </x:c>
      <x:c r="G56" s="99" t="str">
        <x:v>Scope is human users interacting with government systems; workload and agent identities require separate controls.</x:v>
      </x:c>
    </x:row>
    <x:row r="57" ht="70" customHeight="1">
      <x:c r="A57" s="97" t="str">
        <x:v>56</x:v>
      </x:c>
      <x:c r="B57" s="98" t="str">
        <x:v>NIST SP 800-61 Rev. 3</x:v>
      </x:c>
      <x:c r="C57" s="98" t="str">
        <x:v>FINAL, April 2025</x:v>
      </x:c>
      <x:c r="D57" s="98" t="str">
        <x:v>2026-08-07</x:v>
      </x:c>
      <x:c r="E57" s="98" t="str">
        <x:v>https://doi.org/10.6028/NIST.SP.800-61r3</x:v>
      </x:c>
      <x:c r="F57" s="98" t="str">
        <x:v>AERA incident, containment and recovery → source profile</x:v>
      </x:c>
      <x:c r="G57" s="99" t="str">
        <x:v>A CSF 2.0 Community Profile; it does not define the complete AERA recovery transaction.</x:v>
      </x:c>
    </x:row>
    <x:row r="58" ht="70" customHeight="1">
      <x:c r="A58" s="97" t="str">
        <x:v>57</x:v>
      </x:c>
      <x:c r="B58" s="98" t="str">
        <x:v>NIST AI 100-5e2025</x:v>
      </x:c>
      <x:c r="C58" s="98" t="str">
        <x:v>FINAL, April 2025 editorial edition</x:v>
      </x:c>
      <x:c r="D58" s="98" t="str">
        <x:v>2026-08-07</x:v>
      </x:c>
      <x:c r="E58" s="98" t="str">
        <x:v>https://doi.org/10.6028/NIST.AI.100-5e2025</x:v>
      </x:c>
      <x:c r="F58" s="98" t="str">
        <x:v>Standards-development context</x:v>
      </x:c>
      <x:c r="G58" s="99" t="str">
        <x:v>Supports multistakeholder and science-backed standards practices; does not validate AERA.</x:v>
      </x:c>
    </x:row>
    <x:row r="59" ht="70" customHeight="1">
      <x:c r="A59" s="97" t="str">
        <x:v>58</x:v>
      </x:c>
      <x:c r="B59" s="98" t="str">
        <x:v>NIST AI 700-2 ARIA pilot</x:v>
      </x:c>
      <x:c r="C59" s="98" t="str">
        <x:v>FINAL PILOT REPORT, November 2025</x:v>
      </x:c>
      <x:c r="D59" s="98" t="str">
        <x:v>2026-08-07</x:v>
      </x:c>
      <x:c r="E59" s="98" t="str">
        <x:v>https://doi.org/10.6028/NIST.AI.700-2</x:v>
      </x:c>
      <x:c r="F59" s="98" t="str">
        <x:v>Source → AERA TEVV and pilot method</x:v>
      </x:c>
      <x:c r="G59" s="99" t="str">
        <x:v>One NIST pilot method; not a universal assurance or certification procedure.</x:v>
      </x:c>
    </x:row>
    <x:row r="60" ht="70" customHeight="1">
      <x:c r="A60" s="97" t="str">
        <x:v>59</x:v>
      </x:c>
      <x:c r="B60" s="98" t="str">
        <x:v>NIST AI Resource Center</x:v>
      </x:c>
      <x:c r="C60" s="98" t="str">
        <x:v>LIVING RESOURCE</x:v>
      </x:c>
      <x:c r="D60" s="98" t="str">
        <x:v>2026-08-07</x:v>
      </x:c>
      <x:c r="E60" s="98" t="str">
        <x:v>https://airc.nist.gov/</x:v>
      </x:c>
      <x:c r="F60" s="98" t="str">
        <x:v>Engagement, use-case and crosswalk context</x:v>
      </x:c>
      <x:c r="G60" s="99" t="str">
        <x:v>Stakeholder resources are not endorsed merely because they are listed or linked.</x:v>
      </x:c>
    </x:row>
    <x:row r="61" ht="70" customHeight="1">
      <x:c r="A61" s="97" t="str">
        <x:v>60</x:v>
      </x:c>
      <x:c r="B61" s="98" t="str">
        <x:v>NIST IR 8607 Cyber AI workshop summary</x:v>
      </x:c>
      <x:c r="C61" s="98" t="str">
        <x:v>FINAL WORKSHOP REPORT, August 3, 2026</x:v>
      </x:c>
      <x:c r="D61" s="98" t="str">
        <x:v>2026-08-07</x:v>
      </x:c>
      <x:c r="E61" s="98" t="str">
        <x:v>https://doi.org/10.6028/NIST.IR.8607</x:v>
      </x:c>
      <x:c r="F61" s="98" t="str">
        <x:v>Context for profile development and community input</x:v>
      </x:c>
      <x:c r="G61" s="99" t="str">
        <x:v>Summarizes workshop input; it is not the Cyber AI Profile or a control baseline.</x:v>
      </x:c>
    </x:row>
    <x:row r="62" ht="70" customHeight="1">
      <x:c r="A62" s="97" t="str">
        <x:v>61</x:v>
      </x:c>
      <x:c r="B62" s="98" t="str">
        <x:v>NIST Privacy Framework</x:v>
      </x:c>
      <x:c r="C62" s="98" t="str">
        <x:v>VERSION 1.0 FINAL; VERSION 1.1 INITIAL PUBLIC DRAFT</x:v>
      </x:c>
      <x:c r="D62" s="98" t="str">
        <x:v>2026-08-07</x:v>
      </x:c>
      <x:c r="E62" s="98" t="str">
        <x:v>https://www.nist.gov/privacy-framework</x:v>
      </x:c>
      <x:c r="F62" s="98" t="str">
        <x:v>AERA privacy governance → source</x:v>
      </x:c>
      <x:c r="G62" s="99" t="str">
        <x:v>Do not represent Privacy Framework 1.1 as final until NIST publishes a final edition.</x:v>
      </x:c>
    </x:row>
    <x:row r="63" ht="70" customHeight="1">
      <x:c r="A63" s="97" t="str">
        <x:v>62</x:v>
      </x:c>
      <x:c r="B63" s="98" t="str">
        <x:v>AI RMF Appendix D design attributes</x:v>
      </x:c>
      <x:c r="C63" s="98" t="str">
        <x:v>FINAL AI RMF 1.0 RESOURCE; framework revision underway</x:v>
      </x:c>
      <x:c r="D63" s="98" t="str">
        <x:v>2026-08-07</x:v>
      </x:c>
      <x:c r="E63" s="98" t="str">
        <x:v>https://airc.nist.gov/airmf-resources/airmf/appendices/app-d-attributes-of-the-ai-rmf/</x:v>
      </x:c>
      <x:c r="F63" s="98" t="str">
        <x:v>Source → AERA self-assessment criteria</x:v>
      </x:c>
      <x:c r="G63" s="99" t="str">
        <x:v>The attributes are design guidance for AI RMF; AERA status is self-assessed and not NIST-reviewed.</x:v>
      </x:c>
    </x:row>
    <x:row r="64" ht="70" customHeight="1">
      <x:c r="A64" s="97" t="str">
        <x:v>63</x:v>
      </x:c>
      <x:c r="B64" s="98" t="str">
        <x:v>NIST AI Consortium letter-of-interest process</x:v>
      </x:c>
      <x:c r="C64" s="98" t="str">
        <x:v>ONGOING PARTICIPATION PROCESS, updated August 4, 2026</x:v>
      </x:c>
      <x:c r="D64" s="98" t="str">
        <x:v>2026-08-07</x:v>
      </x:c>
      <x:c r="E64" s="98" t="str">
        <x:v>https://www.nist.gov/artificial-intelligence/nist-ai-consortium/submit-letter-interest-join-nist-ai-consortium</x:v>
      </x:c>
      <x:c r="F64" s="98" t="str">
        <x:v>Engagement context</x:v>
      </x:c>
      <x:c r="G64" s="99" t="str">
        <x:v>Selection requires a complete organizational letter of interest and CRADA; NIST does not guarantee use of a submitted capability, and participation is not AERA endorsement.</x:v>
      </x:c>
    </x:row>
    <x:row r="65" ht="70" customHeight="1">
      <x:c r="A65" s="97" t="str">
        <x:v>64</x:v>
      </x:c>
      <x:c r="B65" s="98" t="str">
        <x:v>NIST IR 8286 Rev. 1</x:v>
      </x:c>
      <x:c r="C65" s="98" t="str">
        <x:v>FINAL, December 18, 2025</x:v>
      </x:c>
      <x:c r="D65" s="98" t="str">
        <x:v>2026-08-07</x:v>
      </x:c>
      <x:c r="E65" s="98" t="str">
        <x:v>https://doi.org/10.6028/NIST.IR.8286r1</x:v>
      </x:c>
      <x:c r="F65" s="98" t="str">
        <x:v>AERA risk and consequence information → enterprise risk management</x:v>
      </x:c>
      <x:c r="G65" s="99" t="str">
        <x:v>Supplies risk-register and ERM integration guidance; it does not establish AERA risk acceptance or conformance.</x:v>
      </x:c>
    </x:row>
    <x:row r="66" ht="70" customHeight="1">
      <x:c r="A66" s="97" t="str">
        <x:v>65</x:v>
      </x:c>
      <x:c r="B66" s="98" t="str">
        <x:v>NIST SP 800-55 Vol. 1</x:v>
      </x:c>
      <x:c r="C66" s="98" t="str">
        <x:v>FINAL, December 4, 2024</x:v>
      </x:c>
      <x:c r="D66" s="98" t="str">
        <x:v>2026-08-07</x:v>
      </x:c>
      <x:c r="E66" s="98" t="str">
        <x:v>https://doi.org/10.6028/NIST.SP.800-55v1</x:v>
      </x:c>
      <x:c r="F66" s="98" t="str">
        <x:v>Source → AERA measurement selection and evaluation</x:v>
      </x:c>
      <x:c r="G66" s="99" t="str">
        <x:v>Security-measure guidance requires context-specific adaptation for AI and decision assurance.</x:v>
      </x:c>
    </x:row>
    <x:row r="67" ht="70" customHeight="1">
      <x:c r="A67" s="97" t="str">
        <x:v>66</x:v>
      </x:c>
      <x:c r="B67" s="98" t="str">
        <x:v>NIST SP 800-55 Vol. 2</x:v>
      </x:c>
      <x:c r="C67" s="98" t="str">
        <x:v>FINAL, December 4, 2024</x:v>
      </x:c>
      <x:c r="D67" s="98" t="str">
        <x:v>2026-08-07</x:v>
      </x:c>
      <x:c r="E67" s="98" t="str">
        <x:v>https://doi.org/10.6028/NIST.SP.800-55v2</x:v>
      </x:c>
      <x:c r="F67" s="98" t="str">
        <x:v>Source → AERA measurement-program governance</x:v>
      </x:c>
      <x:c r="G67" s="99" t="str">
        <x:v>A measurement program does not validate a particular AERA metric or assurance claim.</x:v>
      </x:c>
    </x:row>
    <x:row r="68" ht="70" customHeight="1">
      <x:c r="A68" s="97" t="str">
        <x:v>67</x:v>
      </x:c>
      <x:c r="B68" s="98" t="str">
        <x:v>NIST AI 800-3</x:v>
      </x:c>
      <x:c r="C68" s="98" t="str">
        <x:v>FINAL RESEARCH REPORT, February 17, 2026</x:v>
      </x:c>
      <x:c r="D68" s="98" t="str">
        <x:v>2026-08-07</x:v>
      </x:c>
      <x:c r="E68" s="98" t="str">
        <x:v>https://doi.org/10.6028/NIST.AI.800-3</x:v>
      </x:c>
      <x:c r="F68" s="98" t="str">
        <x:v>Source → AERA AI evaluation uncertainty and inference</x:v>
      </x:c>
      <x:c r="G68" s="99" t="str">
        <x:v>Statistical method is context-specific research, not a universal benchmark or conformance method.</x:v>
      </x:c>
    </x:row>
    <x:row r="69" ht="70" customHeight="1">
      <x:c r="A69" s="97" t="str">
        <x:v>68</x:v>
      </x:c>
      <x:c r="B69" s="98" t="str">
        <x:v>NIST AI 800-4</x:v>
      </x:c>
      <x:c r="C69" s="98" t="str">
        <x:v>FINAL RESEARCH REPORT, March 6, 2026</x:v>
      </x:c>
      <x:c r="D69" s="98" t="str">
        <x:v>2026-08-07</x:v>
      </x:c>
      <x:c r="E69" s="98" t="str">
        <x:v>https://doi.org/10.6028/NIST.AI.800-4</x:v>
      </x:c>
      <x:c r="F69" s="98" t="str">
        <x:v>Source → AERA deployed-AI monitoring categories and research gaps</x:v>
      </x:c>
      <x:c r="G69" s="99" t="str">
        <x:v>Describes challenges and open questions; it is not a control standard or validated monitoring baseline.</x:v>
      </x:c>
    </x:row>
    <x:row r="70" ht="70" customHeight="1">
      <x:c r="A70" s="100" t="str">
        <x:v>69</x:v>
      </x:c>
      <x:c r="B70" s="101" t="str">
        <x:v>NIST OSCAL</x:v>
      </x:c>
      <x:c r="C70" s="101" t="str">
        <x:v>ACTIVE NIST-LED INITIATIVE, page updated June 2, 2026</x:v>
      </x:c>
      <x:c r="D70" s="101" t="str">
        <x:v>2026-08-07</x:v>
      </x:c>
      <x:c r="E70" s="101" t="str">
        <x:v>https://pages.nist.gov/OSCAL/</x:v>
      </x:c>
      <x:c r="F70" s="101" t="str">
        <x:v>Machine-readable implementation and assessment context</x:v>
      </x:c>
      <x:c r="G70" s="102" t="str">
        <x:v>AERA does not yet provide OSCAL catalogs, profiles, component definitions, assessment plans or results.</x:v>
      </x:c>
    </x:row>
  </x:sheetData>
  <x:pageMargins left="0.7" right="0.7" top="0.75" bottom="0.75" header="0.3" footer="0.3"/>
  <x:tableParts count="1">
    <x:tablePart xmlns:r="http://schemas.openxmlformats.org/officeDocument/2006/relationships" r:id="R7e76622fb5e54d6a"/>
  </x:tableParts>
</x:worksheet>
</file>